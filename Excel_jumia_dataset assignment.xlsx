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imon\Downloads\HOWAM ICT\"/>
    </mc:Choice>
  </mc:AlternateContent>
  <xr:revisionPtr revIDLastSave="0" documentId="13_ncr:1_{131F7B32-4E47-4D62-A648-CC5CFE3AC111}" xr6:coauthVersionLast="47" xr6:coauthVersionMax="47" xr10:uidLastSave="{00000000-0000-0000-0000-000000000000}"/>
  <bookViews>
    <workbookView xWindow="-120" yWindow="-120" windowWidth="20730" windowHeight="11310" xr2:uid="{BF03A913-911B-40A1-970A-F1044E8FD03A}"/>
  </bookViews>
  <sheets>
    <sheet name="Dashboard" sheetId="11" r:id="rId1"/>
    <sheet name="Review counts" sheetId="10" r:id="rId2"/>
    <sheet name="AVG Ratings" sheetId="9" r:id="rId3"/>
    <sheet name="Relationship" sheetId="8" r:id="rId4"/>
    <sheet name="Reviews" sheetId="6" r:id="rId5"/>
    <sheet name="Discounts" sheetId="5" r:id="rId6"/>
    <sheet name="Low rating" sheetId="4" r:id="rId7"/>
    <sheet name="High rating" sheetId="2" r:id="rId8"/>
    <sheet name="Main" sheetId="1" r:id="rId9"/>
  </sheets>
  <definedNames>
    <definedName name="Slicer_Cleanreviews">#N/A</definedName>
    <definedName name="Slicer_Discount_Category">#N/A</definedName>
    <definedName name="Slicer_Discount_Category1">#N/A</definedName>
    <definedName name="Slicer_Discount_Category2">#N/A</definedName>
    <definedName name="Slicer_Rate_Category">#N/A</definedName>
    <definedName name="Slicer_Rate_Category1">#N/A</definedName>
    <definedName name="Slicer_Rate_Category2">#N/A</definedName>
  </definedNames>
  <calcPr calcId="18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1" l="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2"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2" i="1"/>
  <c r="L2" i="1" s="1"/>
  <c r="J40" i="1"/>
  <c r="J5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1" i="1"/>
  <c r="J41" i="1" s="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J73" i="1" s="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1" i="1"/>
  <c r="H42" i="1"/>
  <c r="H43" i="1"/>
  <c r="H44" i="1"/>
  <c r="H45" i="1"/>
  <c r="J45" i="1" s="1"/>
  <c r="H46" i="1"/>
  <c r="H47" i="1"/>
  <c r="H48" i="1"/>
  <c r="H49" i="1"/>
  <c r="H50" i="1"/>
  <c r="H51" i="1"/>
  <c r="H52" i="1"/>
  <c r="H53" i="1"/>
  <c r="J53" i="1" s="1"/>
  <c r="H54" i="1"/>
  <c r="H55" i="1"/>
  <c r="H56" i="1"/>
  <c r="H57" i="1"/>
  <c r="H58" i="1"/>
  <c r="H59" i="1"/>
  <c r="H60" i="1"/>
  <c r="H61" i="1"/>
  <c r="H62" i="1"/>
  <c r="H63" i="1"/>
  <c r="H64" i="1"/>
  <c r="H65" i="1"/>
  <c r="H66" i="1"/>
  <c r="H67" i="1"/>
  <c r="H68" i="1"/>
  <c r="H69" i="1"/>
  <c r="J69" i="1" s="1"/>
  <c r="H70" i="1"/>
  <c r="H71" i="1"/>
  <c r="H72" i="1"/>
  <c r="H73" i="1"/>
  <c r="H74" i="1"/>
  <c r="H75" i="1"/>
  <c r="H76" i="1"/>
  <c r="H77" i="1"/>
  <c r="J77" i="1" s="1"/>
  <c r="H78" i="1"/>
  <c r="H79" i="1"/>
  <c r="H80" i="1"/>
  <c r="H81" i="1"/>
  <c r="J81" i="1" s="1"/>
  <c r="H82" i="1"/>
  <c r="H83" i="1"/>
  <c r="H84" i="1"/>
  <c r="H85" i="1"/>
  <c r="J85" i="1" s="1"/>
  <c r="H86" i="1"/>
  <c r="H87" i="1"/>
  <c r="H88" i="1"/>
  <c r="H89" i="1"/>
  <c r="J89" i="1" s="1"/>
  <c r="H90" i="1"/>
  <c r="H91" i="1"/>
  <c r="H92" i="1"/>
  <c r="H93" i="1"/>
  <c r="J93" i="1" s="1"/>
  <c r="H94" i="1"/>
  <c r="H95" i="1"/>
  <c r="H96" i="1"/>
  <c r="H97" i="1"/>
  <c r="J97" i="1" s="1"/>
  <c r="H98" i="1"/>
  <c r="H99" i="1"/>
  <c r="H100" i="1"/>
  <c r="H101" i="1"/>
  <c r="J101" i="1" s="1"/>
  <c r="H102" i="1"/>
  <c r="H103" i="1"/>
  <c r="H104" i="1"/>
  <c r="H105" i="1"/>
  <c r="J105" i="1" s="1"/>
  <c r="H106" i="1"/>
  <c r="H107" i="1"/>
  <c r="H108" i="1"/>
  <c r="H109" i="1"/>
  <c r="J109" i="1" s="1"/>
  <c r="H110" i="1"/>
  <c r="H111" i="1"/>
  <c r="H112" i="1"/>
  <c r="H113" i="1"/>
  <c r="J113" i="1" s="1"/>
  <c r="J65" i="1" l="1"/>
  <c r="J61" i="1"/>
  <c r="J49" i="1"/>
  <c r="H115" i="1"/>
  <c r="J103" i="1"/>
  <c r="J91" i="1"/>
  <c r="J83" i="1"/>
  <c r="J71" i="1"/>
  <c r="J59" i="1"/>
  <c r="J43" i="1"/>
  <c r="J30" i="1"/>
  <c r="J18" i="1"/>
  <c r="J10" i="1"/>
  <c r="H116" i="1"/>
  <c r="I115" i="1"/>
  <c r="J110" i="1"/>
  <c r="J106" i="1"/>
  <c r="J102" i="1"/>
  <c r="J98" i="1"/>
  <c r="J94" i="1"/>
  <c r="J90" i="1"/>
  <c r="J86" i="1"/>
  <c r="J82" i="1"/>
  <c r="J78" i="1"/>
  <c r="J74" i="1"/>
  <c r="J70" i="1"/>
  <c r="J66" i="1"/>
  <c r="J62" i="1"/>
  <c r="J58" i="1"/>
  <c r="J54" i="1"/>
  <c r="J50" i="1"/>
  <c r="J46" i="1"/>
  <c r="J42" i="1"/>
  <c r="J37" i="1"/>
  <c r="J33" i="1"/>
  <c r="J29" i="1"/>
  <c r="J25" i="1"/>
  <c r="J21" i="1"/>
  <c r="J17" i="1"/>
  <c r="J13" i="1"/>
  <c r="J9" i="1"/>
  <c r="J5" i="1"/>
  <c r="H117" i="1"/>
  <c r="J111" i="1"/>
  <c r="J99" i="1"/>
  <c r="J87" i="1"/>
  <c r="J75" i="1"/>
  <c r="J67" i="1"/>
  <c r="J55" i="1"/>
  <c r="J47" i="1"/>
  <c r="J34" i="1"/>
  <c r="J26" i="1"/>
  <c r="J14" i="1"/>
  <c r="J36" i="1"/>
  <c r="J32" i="1"/>
  <c r="J28" i="1"/>
  <c r="J24" i="1"/>
  <c r="J20" i="1"/>
  <c r="J16" i="1"/>
  <c r="J12" i="1"/>
  <c r="J8" i="1"/>
  <c r="J4" i="1"/>
  <c r="B116" i="1"/>
  <c r="D2" i="11" s="1"/>
  <c r="J107" i="1"/>
  <c r="J95" i="1"/>
  <c r="J79" i="1"/>
  <c r="J63" i="1"/>
  <c r="J51" i="1"/>
  <c r="J38" i="1"/>
  <c r="J22" i="1"/>
  <c r="J6" i="1"/>
  <c r="J112" i="1"/>
  <c r="J108" i="1"/>
  <c r="J104" i="1"/>
  <c r="J100" i="1"/>
  <c r="J96" i="1"/>
  <c r="J92" i="1"/>
  <c r="J88" i="1"/>
  <c r="J84" i="1"/>
  <c r="J80" i="1"/>
  <c r="J76" i="1"/>
  <c r="J72" i="1"/>
  <c r="J68" i="1"/>
  <c r="J64" i="1"/>
  <c r="J60" i="1"/>
  <c r="J56" i="1"/>
  <c r="J52" i="1"/>
  <c r="J48" i="1"/>
  <c r="J44" i="1"/>
  <c r="J39" i="1"/>
  <c r="J35" i="1"/>
  <c r="J31" i="1"/>
  <c r="J27" i="1"/>
  <c r="J23" i="1"/>
  <c r="J19" i="1"/>
  <c r="J15" i="1"/>
  <c r="J11" i="1"/>
  <c r="J7" i="1"/>
  <c r="J3" i="1"/>
  <c r="B117" i="1"/>
  <c r="K115" i="1"/>
  <c r="D3" i="11" s="1"/>
  <c r="J2" i="1"/>
  <c r="J115" i="1" l="1"/>
  <c r="D4" i="11" s="1"/>
</calcChain>
</file>

<file path=xl/sharedStrings.xml><?xml version="1.0" encoding="utf-8"?>
<sst xmlns="http://schemas.openxmlformats.org/spreadsheetml/2006/main" count="1006" uniqueCount="358">
  <si>
    <t>Product</t>
  </si>
  <si>
    <t>Current price</t>
  </si>
  <si>
    <t>old price</t>
  </si>
  <si>
    <t>Discount</t>
  </si>
  <si>
    <t>Review</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</si>
  <si>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</si>
  <si>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</si>
  <si>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</si>
  <si>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</si>
  <si>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</si>
  <si>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</si>
  <si>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</si>
  <si>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</si>
  <si>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</si>
  <si>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</si>
  <si>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</si>
  <si>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</si>
  <si>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</si>
  <si>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</si>
  <si>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</si>
  <si>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</si>
  <si>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</si>
  <si>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</si>
  <si>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</si>
  <si>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</si>
  <si>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</si>
  <si>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</si>
  <si>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</si>
  <si>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</si>
  <si>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</si>
  <si>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</si>
  <si>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</si>
  <si>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</si>
  <si>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</si>
  <si>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</si>
  <si>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</si>
  <si>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</si>
  <si>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</si>
  <si>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</si>
  <si>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</si>
  <si>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</si>
  <si>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</si>
  <si>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</si>
  <si>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</si>
  <si>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</si>
  <si>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</si>
  <si>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</si>
  <si>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</si>
  <si>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</si>
  <si>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</si>
  <si>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</si>
  <si>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</si>
  <si>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</si>
  <si>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</si>
  <si>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</si>
  <si>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</si>
  <si>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</si>
  <si>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</si>
  <si>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</si>
  <si>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</si>
  <si>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</si>
  <si>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</si>
  <si>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</si>
  <si>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</si>
  <si>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</si>
  <si>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</si>
  <si>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</si>
  <si>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</si>
  <si>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</si>
  <si>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</si>
  <si>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</si>
  <si>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</si>
  <si>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</si>
  <si>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KSh 1,860</t>
  </si>
  <si>
    <t>KSh 3,220</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</si>
  <si>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</si>
  <si>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</si>
  <si>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</si>
  <si>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</si>
  <si>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</si>
  <si>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</si>
  <si>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</si>
  <si>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</si>
  <si>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</si>
  <si>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</si>
  <si>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</si>
  <si>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</si>
  <si>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</si>
  <si>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</si>
  <si>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</si>
  <si>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</si>
  <si>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</si>
  <si>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</si>
  <si>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</si>
  <si>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</si>
  <si>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</si>
  <si>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</si>
  <si>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</si>
  <si>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</si>
  <si>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</si>
  <si>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</si>
  <si>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</si>
  <si>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</si>
  <si>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</si>
  <si>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KSh 1,820</t>
  </si>
  <si>
    <t>KSh 3,490</t>
  </si>
  <si>
    <t>53Pcs/Set Yarn Knitting Crochet Hooks With Bag - Fortune Cat</t>
  </si>
  <si>
    <t>KSh 1,940</t>
  </si>
  <si>
    <t>KSh 2,650</t>
  </si>
  <si>
    <t>53 Pieces/Set Yarn Knitting Crochet Hooks With Bag - Pansies</t>
  </si>
  <si>
    <t>KSh 1,980</t>
  </si>
  <si>
    <t>KSh 2,699</t>
  </si>
  <si>
    <t>KSh 1,620</t>
  </si>
  <si>
    <t>KSh 2,690</t>
  </si>
  <si>
    <t>Classic Black Cat Cotton Hemp Pillow Case For Home Car</t>
  </si>
  <si>
    <t>KSh 171</t>
  </si>
  <si>
    <t>Punch-free Great Load Bearing Bathroom Storage Rack Wall Shelf-White</t>
  </si>
  <si>
    <t>KSh 389</t>
  </si>
  <si>
    <t>KSh 656</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</si>
  <si>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</si>
  <si>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</si>
  <si>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</si>
  <si>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</si>
  <si>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</si>
  <si>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</si>
  <si>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</si>
  <si>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</si>
  <si>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</si>
  <si>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</si>
  <si>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</si>
  <si>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</si>
  <si>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</si>
  <si>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</si>
  <si>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</si>
  <si>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</si>
  <si>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</si>
  <si>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</si>
  <si>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</si>
  <si>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</si>
  <si>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</si>
  <si>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</si>
  <si>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</si>
  <si>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</si>
  <si>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</si>
  <si>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</si>
  <si>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</si>
  <si>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</si>
  <si>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</si>
  <si>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</si>
  <si>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</si>
  <si>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</si>
  <si>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</si>
  <si>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</si>
  <si>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</si>
  <si>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</si>
  <si>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</si>
  <si>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</si>
  <si>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</si>
  <si>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</si>
  <si>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</si>
  <si>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</si>
  <si>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</si>
  <si>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</si>
  <si>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</si>
  <si>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</si>
  <si>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</si>
  <si>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</si>
  <si>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</si>
  <si>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</si>
  <si>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</si>
  <si>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</si>
  <si>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</si>
  <si>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</si>
  <si>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</si>
  <si>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</si>
  <si>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</si>
  <si>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</si>
  <si>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</si>
  <si>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</si>
  <si>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</si>
  <si>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</si>
  <si>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</si>
  <si>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</si>
  <si>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</si>
  <si>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</si>
  <si>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</si>
  <si>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</si>
  <si>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</si>
  <si>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</si>
  <si>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</si>
  <si>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</si>
  <si>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</si>
  <si>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</si>
  <si>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</si>
  <si>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</si>
  <si>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</si>
  <si>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</si>
  <si>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</si>
  <si>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</si>
  <si>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</si>
  <si>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</si>
  <si>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</si>
  <si>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</si>
  <si>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</si>
  <si>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</si>
  <si>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</si>
  <si>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</si>
  <si>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</si>
  <si>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</si>
  <si>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</si>
  <si>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</si>
  <si>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</si>
  <si>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</si>
  <si>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</si>
  <si>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</si>
  <si>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</si>
  <si>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</si>
  <si>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</si>
  <si>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</si>
  <si>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KSh 968</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</si>
  <si>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</si>
  <si>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</si>
  <si>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</si>
  <si>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</si>
  <si>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</si>
  <si>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</si>
  <si>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</si>
  <si>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</si>
  <si>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</si>
  <si>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</si>
  <si>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</si>
  <si>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</si>
  <si>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</si>
  <si>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</si>
  <si>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</si>
  <si>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</si>
  <si>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</si>
  <si>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</si>
  <si>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</si>
  <si>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</si>
  <si>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</si>
  <si>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</si>
  <si>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</si>
  <si>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</si>
  <si>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</si>
  <si>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</si>
  <si>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</si>
  <si>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</si>
  <si>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</si>
  <si>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</si>
  <si>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</si>
  <si>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</si>
  <si>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</si>
  <si>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</si>
  <si>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</si>
  <si>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</si>
  <si>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</si>
  <si>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</si>
  <si>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</si>
  <si>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</si>
  <si>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</si>
  <si>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</si>
  <si>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</si>
  <si>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</si>
  <si>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</si>
  <si>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</si>
  <si>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</si>
  <si>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</si>
  <si>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</si>
  <si>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</si>
  <si>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</si>
  <si>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</si>
  <si>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</si>
  <si>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</si>
  <si>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</si>
  <si>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</si>
  <si>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</si>
  <si>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</si>
  <si>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</si>
  <si>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</si>
  <si>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</si>
  <si>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</si>
  <si>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</si>
  <si>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</si>
  <si>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KSh 3,640</t>
  </si>
  <si>
    <t>KSh 4,588</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</si>
  <si>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</si>
  <si>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</si>
  <si>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</si>
  <si>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</si>
  <si>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</si>
  <si>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</si>
  <si>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</si>
  <si>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</si>
  <si>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</si>
  <si>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</si>
  <si>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</si>
  <si>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</si>
  <si>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</si>
  <si>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</si>
  <si>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</si>
  <si>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</si>
  <si>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</si>
  <si>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</si>
  <si>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</si>
  <si>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</si>
  <si>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</si>
  <si>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</si>
  <si>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</si>
  <si>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</si>
  <si>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220V 60W Electric Soldering Iron Kits With Tools  Tips  And Multimeter</t>
  </si>
  <si>
    <t>4pcs Bathroom/Kitchen Towel Rack Roll Paper Holder Towel Bars Hook</t>
  </si>
  <si>
    <t>LED Romantic Spaceship Starry Sky Projector Children's Bedroom Night Light-Blue</t>
  </si>
  <si>
    <t>LED Eye Protection  Desk Lamp  Study  Reading  USB Fan - Double Pen Holder</t>
  </si>
  <si>
    <t>DIY File Folder  Office Drawer File Holder  Pen Holder  Desktop Storage Rack</t>
  </si>
  <si>
    <t>1/2/3 Seater Elastic Sofa Cover Living Room/Home Decor Chair Cover-Grey</t>
  </si>
  <si>
    <t>Balloon Insert  Birthday Party Balloon Set  PU Leather</t>
  </si>
  <si>
    <t>7-piece Set Of Storage Bags,  Travel Storage Bags,  Shoe Bags</t>
  </si>
  <si>
    <t>Electric LED UV Mosquito Killer Lamp,  Outdoor/Indoor Fly Killer Trap Light -USB</t>
  </si>
  <si>
    <t>Memory Foam Neck Pillow Cover,  With Pillow Core - 50*30cm</t>
  </si>
  <si>
    <t>Konka Healty Electric Kettle,  24-hour Heat Preservation, 1.5L, 800W,  White</t>
  </si>
  <si>
    <t>9pcs Gas Mask,  For Painting,  Dust,  Formaldehyde Grinding,  Polishing</t>
  </si>
  <si>
    <t>Ratings</t>
  </si>
  <si>
    <t>Discounts</t>
  </si>
  <si>
    <t>Current prices</t>
  </si>
  <si>
    <t>Old prices</t>
  </si>
  <si>
    <t>Rating</t>
  </si>
  <si>
    <t>Rate Category</t>
  </si>
  <si>
    <t>Discount Category</t>
  </si>
  <si>
    <t>Expensive:</t>
  </si>
  <si>
    <t>Cheap:</t>
  </si>
  <si>
    <t>Average:</t>
  </si>
  <si>
    <t>Row Labels</t>
  </si>
  <si>
    <t>Grand Total</t>
  </si>
  <si>
    <t>Sum of Current prices</t>
  </si>
  <si>
    <t>Sum of Old prices</t>
  </si>
  <si>
    <t>Sum of Discounts</t>
  </si>
  <si>
    <t>Sum of Rating</t>
  </si>
  <si>
    <t>Medium Discount</t>
  </si>
  <si>
    <t>High Discount</t>
  </si>
  <si>
    <t>Low Discount</t>
  </si>
  <si>
    <t>Average of Rating</t>
  </si>
  <si>
    <t>Count of Ratings</t>
  </si>
  <si>
    <t>products with high rating</t>
  </si>
  <si>
    <t>products with low rating</t>
  </si>
  <si>
    <t>Count of Review</t>
  </si>
  <si>
    <t>Sum of Review</t>
  </si>
  <si>
    <t>Average of Discounts</t>
  </si>
  <si>
    <t>Cleanreviews</t>
  </si>
  <si>
    <t>Average of Cleanreviews</t>
  </si>
  <si>
    <t>Total Products:</t>
  </si>
  <si>
    <t>Total Reviews:</t>
  </si>
  <si>
    <t>AVG Rating:</t>
  </si>
  <si>
    <t>AVG Discount:</t>
  </si>
  <si>
    <t>Count of Product</t>
  </si>
  <si>
    <t>Average</t>
  </si>
  <si>
    <t>Excellent</t>
  </si>
  <si>
    <t>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</si>
</sst>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14"/>
      <color theme="1"/>
      <name val="Trebuchet MS"/>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7F7F7F"/>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0" fontId="0" fillId="33" borderId="0" xfId="0" applyFill="1"/>
    <xf numFmtId="9" fontId="0" fillId="33"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0" fillId="34" borderId="0" xfId="0" applyFill="1"/>
    <xf numFmtId="0" fontId="0" fillId="34" borderId="10" xfId="0" applyFill="1" applyBorder="1"/>
    <xf numFmtId="0" fontId="8" fillId="4" borderId="4" xfId="8" applyBorder="1"/>
    <xf numFmtId="2" fontId="8" fillId="4" borderId="4" xfId="8" applyNumberFormat="1" applyBorder="1"/>
    <xf numFmtId="0" fontId="8" fillId="4" borderId="0" xfId="8"/>
    <xf numFmtId="0" fontId="8" fillId="4" borderId="0" xfId="8" applyAlignment="1">
      <alignment horizontal="left"/>
    </xf>
    <xf numFmtId="0" fontId="8" fillId="34" borderId="0" xfId="8" applyFill="1"/>
    <xf numFmtId="0" fontId="17" fillId="34" borderId="0" xfId="38"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assignment.xlsx]High rating!PivotTable1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Rate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330468066491688"/>
          <c:y val="0.14249781277340332"/>
          <c:w val="0.24521784776902888"/>
          <c:h val="0.75010279965004378"/>
        </c:manualLayout>
      </c:layout>
      <c:bar3DChart>
        <c:barDir val="bar"/>
        <c:grouping val="clustered"/>
        <c:varyColors val="0"/>
        <c:ser>
          <c:idx val="0"/>
          <c:order val="0"/>
          <c:tx>
            <c:strRef>
              <c:f>'High rating'!$B$2</c:f>
              <c:strCache>
                <c:ptCount val="1"/>
                <c:pt idx="0">
                  <c:v>Sum of Current prices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sp3d/>
          </c:spPr>
          <c:invertIfNegative val="0"/>
          <c:cat>
            <c:multiLvlStrRef>
              <c:f>'High rating'!$A$3:$A$15</c:f>
              <c:multiLvlStrCache>
                <c:ptCount val="6"/>
                <c:lvl>
                  <c:pt idx="0">
                    <c:v>High Discount</c:v>
                  </c:pt>
                  <c:pt idx="1">
                    <c:v>High Discount</c:v>
                  </c:pt>
                  <c:pt idx="2">
                    <c:v>High Discount</c:v>
                  </c:pt>
                  <c:pt idx="3">
                    <c:v>High Discount</c:v>
                  </c:pt>
                  <c:pt idx="4">
                    <c:v>High Discount</c:v>
                  </c:pt>
                  <c:pt idx="5">
                    <c:v>High Discount</c:v>
                  </c:pt>
                </c:lvl>
                <c:lvl>
                  <c:pt idx="0">
                    <c:v>Agapeon Toothbrush Holder And Toothpaste Dispenser</c:v>
                  </c:pt>
                  <c:pt idx="1">
                    <c:v>Intelligent  LED Body Sensor Wireless Lighting Night Light USB</c:v>
                  </c:pt>
                  <c:pt idx="2">
                    <c:v>Artificial Potted Flowers Room Decorative Flowers (2 Pieces)</c:v>
                  </c:pt>
                  <c:pt idx="3">
                    <c:v>380ML USB Rechargeable Portable Small Blenders And Juicers</c:v>
                  </c:pt>
                  <c:pt idx="4">
                    <c:v>120W Cordless Vacuum Cleaners Handheld Electric Vacuum Cleaner</c:v>
                  </c:pt>
                  <c:pt idx="5">
                    <c:v>7-piece Set Of Storage Bags,  Travel Storage Bags,  Shoe Bags</c:v>
                  </c:pt>
                </c:lvl>
              </c:multiLvlStrCache>
            </c:multiLvlStrRef>
          </c:cat>
          <c:val>
            <c:numRef>
              <c:f>'High rating'!$B$3:$B$15</c:f>
              <c:numCache>
                <c:formatCode>General</c:formatCode>
                <c:ptCount val="6"/>
                <c:pt idx="0">
                  <c:v>382</c:v>
                </c:pt>
                <c:pt idx="1">
                  <c:v>325</c:v>
                </c:pt>
                <c:pt idx="2">
                  <c:v>990</c:v>
                </c:pt>
                <c:pt idx="3">
                  <c:v>1000</c:v>
                </c:pt>
                <c:pt idx="4">
                  <c:v>445</c:v>
                </c:pt>
                <c:pt idx="5">
                  <c:v>968</c:v>
                </c:pt>
              </c:numCache>
            </c:numRef>
          </c:val>
          <c:extLst>
            <c:ext xmlns:c16="http://schemas.microsoft.com/office/drawing/2014/chart" uri="{C3380CC4-5D6E-409C-BE32-E72D297353CC}">
              <c16:uniqueId val="{00000000-8BD6-4D7F-BC71-CC118CD8F643}"/>
            </c:ext>
          </c:extLst>
        </c:ser>
        <c:ser>
          <c:idx val="1"/>
          <c:order val="1"/>
          <c:tx>
            <c:strRef>
              <c:f>'High rating'!$C$2</c:f>
              <c:strCache>
                <c:ptCount val="1"/>
                <c:pt idx="0">
                  <c:v>Sum of Old prices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sp3d/>
          </c:spPr>
          <c:invertIfNegative val="0"/>
          <c:cat>
            <c:multiLvlStrRef>
              <c:f>'High rating'!$A$3:$A$15</c:f>
              <c:multiLvlStrCache>
                <c:ptCount val="6"/>
                <c:lvl>
                  <c:pt idx="0">
                    <c:v>High Discount</c:v>
                  </c:pt>
                  <c:pt idx="1">
                    <c:v>High Discount</c:v>
                  </c:pt>
                  <c:pt idx="2">
                    <c:v>High Discount</c:v>
                  </c:pt>
                  <c:pt idx="3">
                    <c:v>High Discount</c:v>
                  </c:pt>
                  <c:pt idx="4">
                    <c:v>High Discount</c:v>
                  </c:pt>
                  <c:pt idx="5">
                    <c:v>High Discount</c:v>
                  </c:pt>
                </c:lvl>
                <c:lvl>
                  <c:pt idx="0">
                    <c:v>Agapeon Toothbrush Holder And Toothpaste Dispenser</c:v>
                  </c:pt>
                  <c:pt idx="1">
                    <c:v>Intelligent  LED Body Sensor Wireless Lighting Night Light USB</c:v>
                  </c:pt>
                  <c:pt idx="2">
                    <c:v>Artificial Potted Flowers Room Decorative Flowers (2 Pieces)</c:v>
                  </c:pt>
                  <c:pt idx="3">
                    <c:v>380ML USB Rechargeable Portable Small Blenders And Juicers</c:v>
                  </c:pt>
                  <c:pt idx="4">
                    <c:v>120W Cordless Vacuum Cleaners Handheld Electric Vacuum Cleaner</c:v>
                  </c:pt>
                  <c:pt idx="5">
                    <c:v>7-piece Set Of Storage Bags,  Travel Storage Bags,  Shoe Bags</c:v>
                  </c:pt>
                </c:lvl>
              </c:multiLvlStrCache>
            </c:multiLvlStrRef>
          </c:cat>
          <c:val>
            <c:numRef>
              <c:f>'High rating'!$C$3:$C$15</c:f>
              <c:numCache>
                <c:formatCode>General</c:formatCode>
                <c:ptCount val="6"/>
                <c:pt idx="0">
                  <c:v>700</c:v>
                </c:pt>
                <c:pt idx="1">
                  <c:v>680</c:v>
                </c:pt>
                <c:pt idx="2">
                  <c:v>1814</c:v>
                </c:pt>
                <c:pt idx="3">
                  <c:v>2000</c:v>
                </c:pt>
                <c:pt idx="4">
                  <c:v>873</c:v>
                </c:pt>
                <c:pt idx="5">
                  <c:v>1814</c:v>
                </c:pt>
              </c:numCache>
            </c:numRef>
          </c:val>
          <c:extLst>
            <c:ext xmlns:c16="http://schemas.microsoft.com/office/drawing/2014/chart" uri="{C3380CC4-5D6E-409C-BE32-E72D297353CC}">
              <c16:uniqueId val="{00000001-8BD6-4D7F-BC71-CC118CD8F643}"/>
            </c:ext>
          </c:extLst>
        </c:ser>
        <c:ser>
          <c:idx val="2"/>
          <c:order val="2"/>
          <c:tx>
            <c:strRef>
              <c:f>'High rating'!$D$2</c:f>
              <c:strCache>
                <c:ptCount val="1"/>
                <c:pt idx="0">
                  <c:v>Sum of Discounts</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sp3d/>
          </c:spPr>
          <c:invertIfNegative val="0"/>
          <c:cat>
            <c:multiLvlStrRef>
              <c:f>'High rating'!$A$3:$A$15</c:f>
              <c:multiLvlStrCache>
                <c:ptCount val="6"/>
                <c:lvl>
                  <c:pt idx="0">
                    <c:v>High Discount</c:v>
                  </c:pt>
                  <c:pt idx="1">
                    <c:v>High Discount</c:v>
                  </c:pt>
                  <c:pt idx="2">
                    <c:v>High Discount</c:v>
                  </c:pt>
                  <c:pt idx="3">
                    <c:v>High Discount</c:v>
                  </c:pt>
                  <c:pt idx="4">
                    <c:v>High Discount</c:v>
                  </c:pt>
                  <c:pt idx="5">
                    <c:v>High Discount</c:v>
                  </c:pt>
                </c:lvl>
                <c:lvl>
                  <c:pt idx="0">
                    <c:v>Agapeon Toothbrush Holder And Toothpaste Dispenser</c:v>
                  </c:pt>
                  <c:pt idx="1">
                    <c:v>Intelligent  LED Body Sensor Wireless Lighting Night Light USB</c:v>
                  </c:pt>
                  <c:pt idx="2">
                    <c:v>Artificial Potted Flowers Room Decorative Flowers (2 Pieces)</c:v>
                  </c:pt>
                  <c:pt idx="3">
                    <c:v>380ML USB Rechargeable Portable Small Blenders And Juicers</c:v>
                  </c:pt>
                  <c:pt idx="4">
                    <c:v>120W Cordless Vacuum Cleaners Handheld Electric Vacuum Cleaner</c:v>
                  </c:pt>
                  <c:pt idx="5">
                    <c:v>7-piece Set Of Storage Bags,  Travel Storage Bags,  Shoe Bags</c:v>
                  </c:pt>
                </c:lvl>
              </c:multiLvlStrCache>
            </c:multiLvlStrRef>
          </c:cat>
          <c:val>
            <c:numRef>
              <c:f>'High rating'!$D$3:$D$15</c:f>
              <c:numCache>
                <c:formatCode>General</c:formatCode>
                <c:ptCount val="6"/>
                <c:pt idx="0">
                  <c:v>318</c:v>
                </c:pt>
                <c:pt idx="1">
                  <c:v>355</c:v>
                </c:pt>
                <c:pt idx="2">
                  <c:v>824</c:v>
                </c:pt>
                <c:pt idx="3">
                  <c:v>1000</c:v>
                </c:pt>
                <c:pt idx="4">
                  <c:v>428</c:v>
                </c:pt>
                <c:pt idx="5">
                  <c:v>846</c:v>
                </c:pt>
              </c:numCache>
            </c:numRef>
          </c:val>
          <c:extLst>
            <c:ext xmlns:c16="http://schemas.microsoft.com/office/drawing/2014/chart" uri="{C3380CC4-5D6E-409C-BE32-E72D297353CC}">
              <c16:uniqueId val="{00000002-8BD6-4D7F-BC71-CC118CD8F643}"/>
            </c:ext>
          </c:extLst>
        </c:ser>
        <c:ser>
          <c:idx val="3"/>
          <c:order val="3"/>
          <c:tx>
            <c:strRef>
              <c:f>'High rating'!$E$2</c:f>
              <c:strCache>
                <c:ptCount val="1"/>
                <c:pt idx="0">
                  <c:v>Count of Ratings</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sp3d/>
          </c:spPr>
          <c:invertIfNegative val="0"/>
          <c:cat>
            <c:multiLvlStrRef>
              <c:f>'High rating'!$A$3:$A$15</c:f>
              <c:multiLvlStrCache>
                <c:ptCount val="6"/>
                <c:lvl>
                  <c:pt idx="0">
                    <c:v>High Discount</c:v>
                  </c:pt>
                  <c:pt idx="1">
                    <c:v>High Discount</c:v>
                  </c:pt>
                  <c:pt idx="2">
                    <c:v>High Discount</c:v>
                  </c:pt>
                  <c:pt idx="3">
                    <c:v>High Discount</c:v>
                  </c:pt>
                  <c:pt idx="4">
                    <c:v>High Discount</c:v>
                  </c:pt>
                  <c:pt idx="5">
                    <c:v>High Discount</c:v>
                  </c:pt>
                </c:lvl>
                <c:lvl>
                  <c:pt idx="0">
                    <c:v>Agapeon Toothbrush Holder And Toothpaste Dispenser</c:v>
                  </c:pt>
                  <c:pt idx="1">
                    <c:v>Intelligent  LED Body Sensor Wireless Lighting Night Light USB</c:v>
                  </c:pt>
                  <c:pt idx="2">
                    <c:v>Artificial Potted Flowers Room Decorative Flowers (2 Pieces)</c:v>
                  </c:pt>
                  <c:pt idx="3">
                    <c:v>380ML USB Rechargeable Portable Small Blenders And Juicers</c:v>
                  </c:pt>
                  <c:pt idx="4">
                    <c:v>120W Cordless Vacuum Cleaners Handheld Electric Vacuum Cleaner</c:v>
                  </c:pt>
                  <c:pt idx="5">
                    <c:v>7-piece Set Of Storage Bags,  Travel Storage Bags,  Shoe Bags</c:v>
                  </c:pt>
                </c:lvl>
              </c:multiLvlStrCache>
            </c:multiLvlStrRef>
          </c:cat>
          <c:val>
            <c:numRef>
              <c:f>'High rating'!$E$3:$E$15</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3-8BD6-4D7F-BC71-CC118CD8F643}"/>
            </c:ext>
          </c:extLst>
        </c:ser>
        <c:ser>
          <c:idx val="4"/>
          <c:order val="4"/>
          <c:tx>
            <c:strRef>
              <c:f>'High rating'!$F$2</c:f>
              <c:strCache>
                <c:ptCount val="1"/>
                <c:pt idx="0">
                  <c:v>Average of Rating</c:v>
                </c:pt>
              </c:strCache>
            </c:strRef>
          </c:tx>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sp3d/>
          </c:spPr>
          <c:invertIfNegative val="0"/>
          <c:cat>
            <c:multiLvlStrRef>
              <c:f>'High rating'!$A$3:$A$15</c:f>
              <c:multiLvlStrCache>
                <c:ptCount val="6"/>
                <c:lvl>
                  <c:pt idx="0">
                    <c:v>High Discount</c:v>
                  </c:pt>
                  <c:pt idx="1">
                    <c:v>High Discount</c:v>
                  </c:pt>
                  <c:pt idx="2">
                    <c:v>High Discount</c:v>
                  </c:pt>
                  <c:pt idx="3">
                    <c:v>High Discount</c:v>
                  </c:pt>
                  <c:pt idx="4">
                    <c:v>High Discount</c:v>
                  </c:pt>
                  <c:pt idx="5">
                    <c:v>High Discount</c:v>
                  </c:pt>
                </c:lvl>
                <c:lvl>
                  <c:pt idx="0">
                    <c:v>Agapeon Toothbrush Holder And Toothpaste Dispenser</c:v>
                  </c:pt>
                  <c:pt idx="1">
                    <c:v>Intelligent  LED Body Sensor Wireless Lighting Night Light USB</c:v>
                  </c:pt>
                  <c:pt idx="2">
                    <c:v>Artificial Potted Flowers Room Decorative Flowers (2 Pieces)</c:v>
                  </c:pt>
                  <c:pt idx="3">
                    <c:v>380ML USB Rechargeable Portable Small Blenders And Juicers</c:v>
                  </c:pt>
                  <c:pt idx="4">
                    <c:v>120W Cordless Vacuum Cleaners Handheld Electric Vacuum Cleaner</c:v>
                  </c:pt>
                  <c:pt idx="5">
                    <c:v>7-piece Set Of Storage Bags,  Travel Storage Bags,  Shoe Bags</c:v>
                  </c:pt>
                </c:lvl>
              </c:multiLvlStrCache>
            </c:multiLvlStrRef>
          </c:cat>
          <c:val>
            <c:numRef>
              <c:f>'High rating'!$F$3:$F$15</c:f>
              <c:numCache>
                <c:formatCode>General</c:formatCode>
                <c:ptCount val="6"/>
                <c:pt idx="0">
                  <c:v>2.6</c:v>
                </c:pt>
                <c:pt idx="1">
                  <c:v>2.7</c:v>
                </c:pt>
                <c:pt idx="2">
                  <c:v>2.2000000000000002</c:v>
                </c:pt>
                <c:pt idx="3">
                  <c:v>2.2999999999999998</c:v>
                </c:pt>
                <c:pt idx="4">
                  <c:v>2.8</c:v>
                </c:pt>
                <c:pt idx="5">
                  <c:v>2.2000000000000002</c:v>
                </c:pt>
              </c:numCache>
            </c:numRef>
          </c:val>
          <c:extLst>
            <c:ext xmlns:c16="http://schemas.microsoft.com/office/drawing/2014/chart" uri="{C3380CC4-5D6E-409C-BE32-E72D297353CC}">
              <c16:uniqueId val="{00000004-8BD6-4D7F-BC71-CC118CD8F643}"/>
            </c:ext>
          </c:extLst>
        </c:ser>
        <c:ser>
          <c:idx val="5"/>
          <c:order val="5"/>
          <c:tx>
            <c:strRef>
              <c:f>'High rating'!$G$2</c:f>
              <c:strCache>
                <c:ptCount val="1"/>
                <c:pt idx="0">
                  <c:v>Count of Review</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sp3d/>
          </c:spPr>
          <c:invertIfNegative val="0"/>
          <c:cat>
            <c:multiLvlStrRef>
              <c:f>'High rating'!$A$3:$A$15</c:f>
              <c:multiLvlStrCache>
                <c:ptCount val="6"/>
                <c:lvl>
                  <c:pt idx="0">
                    <c:v>High Discount</c:v>
                  </c:pt>
                  <c:pt idx="1">
                    <c:v>High Discount</c:v>
                  </c:pt>
                  <c:pt idx="2">
                    <c:v>High Discount</c:v>
                  </c:pt>
                  <c:pt idx="3">
                    <c:v>High Discount</c:v>
                  </c:pt>
                  <c:pt idx="4">
                    <c:v>High Discount</c:v>
                  </c:pt>
                  <c:pt idx="5">
                    <c:v>High Discount</c:v>
                  </c:pt>
                </c:lvl>
                <c:lvl>
                  <c:pt idx="0">
                    <c:v>Agapeon Toothbrush Holder And Toothpaste Dispenser</c:v>
                  </c:pt>
                  <c:pt idx="1">
                    <c:v>Intelligent  LED Body Sensor Wireless Lighting Night Light USB</c:v>
                  </c:pt>
                  <c:pt idx="2">
                    <c:v>Artificial Potted Flowers Room Decorative Flowers (2 Pieces)</c:v>
                  </c:pt>
                  <c:pt idx="3">
                    <c:v>380ML USB Rechargeable Portable Small Blenders And Juicers</c:v>
                  </c:pt>
                  <c:pt idx="4">
                    <c:v>120W Cordless Vacuum Cleaners Handheld Electric Vacuum Cleaner</c:v>
                  </c:pt>
                  <c:pt idx="5">
                    <c:v>7-piece Set Of Storage Bags,  Travel Storage Bags,  Shoe Bags</c:v>
                  </c:pt>
                </c:lvl>
              </c:multiLvlStrCache>
            </c:multiLvlStrRef>
          </c:cat>
          <c:val>
            <c:numRef>
              <c:f>'High rating'!$G$3:$G$15</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5-8BD6-4D7F-BC71-CC118CD8F643}"/>
            </c:ext>
          </c:extLst>
        </c:ser>
        <c:dLbls>
          <c:showLegendKey val="0"/>
          <c:showVal val="0"/>
          <c:showCatName val="0"/>
          <c:showSerName val="0"/>
          <c:showPercent val="0"/>
          <c:showBubbleSize val="0"/>
        </c:dLbls>
        <c:gapWidth val="150"/>
        <c:shape val="box"/>
        <c:axId val="627434144"/>
        <c:axId val="627429344"/>
        <c:axId val="0"/>
      </c:bar3DChart>
      <c:catAx>
        <c:axId val="6274341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7429344"/>
        <c:crosses val="autoZero"/>
        <c:auto val="1"/>
        <c:lblAlgn val="ctr"/>
        <c:lblOffset val="100"/>
        <c:noMultiLvlLbl val="0"/>
      </c:catAx>
      <c:valAx>
        <c:axId val="62742934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743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assignment.xlsx]Reviews!PivotTable9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Review chart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Reviews!$B$2</c:f>
              <c:strCache>
                <c:ptCount val="1"/>
                <c:pt idx="0">
                  <c:v>Sum of Current prices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invertIfNegative val="0"/>
          <c:cat>
            <c:strRef>
              <c:f>Reviews!$A$3:$A$21</c:f>
              <c:strCache>
                <c:ptCount val="18"/>
                <c:pt idx="0">
                  <c:v>12V 19500rpm Handheld Electric Angle Grinder Tool - UK - Yellow/Black</c:v>
                </c:pt>
                <c:pt idx="1">
                  <c:v>1PC Refrigerator Food Seal Pocket Fridge Bags</c:v>
                </c:pt>
                <c:pt idx="2">
                  <c:v>2pcs Solar Street Light Flood Light Outdoor</c:v>
                </c:pt>
                <c:pt idx="3">
                  <c:v>3PCS Rotary Scraper Thermomix For Kitchen</c:v>
                </c:pt>
                <c:pt idx="4">
                  <c:v>4pcs Bathroom/Kitchen Towel Rack Roll Paper Holder Towel Bars Hook</c:v>
                </c:pt>
                <c:pt idx="5">
                  <c:v>5m Waterproof Spherical LED String Lights Outdoor Ball Chain Lights Party Lighting Decoration Adjustable</c:v>
                </c:pt>
                <c:pt idx="6">
                  <c:v>60W Hot Melt Glue Sprayer - Efficient And Stable Glue Dispensing</c:v>
                </c:pt>
                <c:pt idx="7">
                  <c:v>8in1 Screwdriver With LED Light</c:v>
                </c:pt>
                <c:pt idx="8">
                  <c:v>9pcs Gas Mask,  For Painting,  Dust,  Formaldehyde Grinding,  Polishing</c:v>
                </c:pt>
                <c:pt idx="9">
                  <c:v>Balloon Insert  Birthday Party Balloon Set  PU Leather</c:v>
                </c:pt>
                <c:pt idx="10">
                  <c:v>Cartoon Embroidered Mini Towel Bear Cotton Wash Cloth Hand 4pcs</c:v>
                </c:pt>
                <c:pt idx="11">
                  <c:v>Cute Christmas Fence Garden Decorations For Holiday Home</c:v>
                </c:pt>
                <c:pt idx="12">
                  <c:v>LASA Stainless Steel Double Wall Mount Soap Dispenser - 500ml</c:v>
                </c:pt>
                <c:pt idx="13">
                  <c:v>LED Solar Street Light-fake Camera</c:v>
                </c:pt>
                <c:pt idx="14">
                  <c:v>Multifunctional Hanging Storage Box Storage Bag (4 Layers)</c:v>
                </c:pt>
                <c:pt idx="15">
                  <c:v>Pilates Cloth Bag Waterproof Durable High Capacity Purple</c:v>
                </c:pt>
                <c:pt idx="16">
                  <c:v>VIC Wireless Vacuum Cleaner Dual Use For Home And Car 120W High Power Powerful</c:v>
                </c:pt>
                <c:pt idx="17">
                  <c:v>Watercolour Gold Foil Textured Print Pillow Cover</c:v>
                </c:pt>
              </c:strCache>
            </c:strRef>
          </c:cat>
          <c:val>
            <c:numRef>
              <c:f>Reviews!$B$3:$B$21</c:f>
              <c:numCache>
                <c:formatCode>General</c:formatCode>
                <c:ptCount val="18"/>
                <c:pt idx="0">
                  <c:v>2799</c:v>
                </c:pt>
                <c:pt idx="1">
                  <c:v>198</c:v>
                </c:pt>
                <c:pt idx="2">
                  <c:v>1200</c:v>
                </c:pt>
                <c:pt idx="3">
                  <c:v>690</c:v>
                </c:pt>
                <c:pt idx="4">
                  <c:v>1860</c:v>
                </c:pt>
                <c:pt idx="5">
                  <c:v>1460</c:v>
                </c:pt>
                <c:pt idx="6">
                  <c:v>1190</c:v>
                </c:pt>
                <c:pt idx="7">
                  <c:v>1080</c:v>
                </c:pt>
                <c:pt idx="8">
                  <c:v>1420</c:v>
                </c:pt>
                <c:pt idx="9">
                  <c:v>610</c:v>
                </c:pt>
                <c:pt idx="10">
                  <c:v>1190</c:v>
                </c:pt>
                <c:pt idx="11">
                  <c:v>799</c:v>
                </c:pt>
                <c:pt idx="12">
                  <c:v>2750</c:v>
                </c:pt>
                <c:pt idx="13">
                  <c:v>1150</c:v>
                </c:pt>
                <c:pt idx="14">
                  <c:v>630</c:v>
                </c:pt>
                <c:pt idx="15">
                  <c:v>299</c:v>
                </c:pt>
                <c:pt idx="16">
                  <c:v>1220</c:v>
                </c:pt>
                <c:pt idx="17">
                  <c:v>345</c:v>
                </c:pt>
              </c:numCache>
            </c:numRef>
          </c:val>
          <c:extLst>
            <c:ext xmlns:c16="http://schemas.microsoft.com/office/drawing/2014/chart" uri="{C3380CC4-5D6E-409C-BE32-E72D297353CC}">
              <c16:uniqueId val="{00000000-F3A9-4E6A-A40B-3620617ED47A}"/>
            </c:ext>
          </c:extLst>
        </c:ser>
        <c:ser>
          <c:idx val="1"/>
          <c:order val="1"/>
          <c:tx>
            <c:strRef>
              <c:f>Reviews!$C$2</c:f>
              <c:strCache>
                <c:ptCount val="1"/>
                <c:pt idx="0">
                  <c:v>Sum of Old prices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c:spPr>
          <c:invertIfNegative val="0"/>
          <c:cat>
            <c:strRef>
              <c:f>Reviews!$A$3:$A$21</c:f>
              <c:strCache>
                <c:ptCount val="18"/>
                <c:pt idx="0">
                  <c:v>12V 19500rpm Handheld Electric Angle Grinder Tool - UK - Yellow/Black</c:v>
                </c:pt>
                <c:pt idx="1">
                  <c:v>1PC Refrigerator Food Seal Pocket Fridge Bags</c:v>
                </c:pt>
                <c:pt idx="2">
                  <c:v>2pcs Solar Street Light Flood Light Outdoor</c:v>
                </c:pt>
                <c:pt idx="3">
                  <c:v>3PCS Rotary Scraper Thermomix For Kitchen</c:v>
                </c:pt>
                <c:pt idx="4">
                  <c:v>4pcs Bathroom/Kitchen Towel Rack Roll Paper Holder Towel Bars Hook</c:v>
                </c:pt>
                <c:pt idx="5">
                  <c:v>5m Waterproof Spherical LED String Lights Outdoor Ball Chain Lights Party Lighting Decoration Adjustable</c:v>
                </c:pt>
                <c:pt idx="6">
                  <c:v>60W Hot Melt Glue Sprayer - Efficient And Stable Glue Dispensing</c:v>
                </c:pt>
                <c:pt idx="7">
                  <c:v>8in1 Screwdriver With LED Light</c:v>
                </c:pt>
                <c:pt idx="8">
                  <c:v>9pcs Gas Mask,  For Painting,  Dust,  Formaldehyde Grinding,  Polishing</c:v>
                </c:pt>
                <c:pt idx="9">
                  <c:v>Balloon Insert  Birthday Party Balloon Set  PU Leather</c:v>
                </c:pt>
                <c:pt idx="10">
                  <c:v>Cartoon Embroidered Mini Towel Bear Cotton Wash Cloth Hand 4pcs</c:v>
                </c:pt>
                <c:pt idx="11">
                  <c:v>Cute Christmas Fence Garden Decorations For Holiday Home</c:v>
                </c:pt>
                <c:pt idx="12">
                  <c:v>LASA Stainless Steel Double Wall Mount Soap Dispenser - 500ml</c:v>
                </c:pt>
                <c:pt idx="13">
                  <c:v>LED Solar Street Light-fake Camera</c:v>
                </c:pt>
                <c:pt idx="14">
                  <c:v>Multifunctional Hanging Storage Box Storage Bag (4 Layers)</c:v>
                </c:pt>
                <c:pt idx="15">
                  <c:v>Pilates Cloth Bag Waterproof Durable High Capacity Purple</c:v>
                </c:pt>
                <c:pt idx="16">
                  <c:v>VIC Wireless Vacuum Cleaner Dual Use For Home And Car 120W High Power Powerful</c:v>
                </c:pt>
                <c:pt idx="17">
                  <c:v>Watercolour Gold Foil Textured Print Pillow Cover</c:v>
                </c:pt>
              </c:strCache>
            </c:strRef>
          </c:cat>
          <c:val>
            <c:numRef>
              <c:f>Reviews!$C$3:$C$21</c:f>
              <c:numCache>
                <c:formatCode>General</c:formatCode>
                <c:ptCount val="18"/>
                <c:pt idx="0">
                  <c:v>3810</c:v>
                </c:pt>
                <c:pt idx="1">
                  <c:v>260</c:v>
                </c:pt>
                <c:pt idx="2">
                  <c:v>1950</c:v>
                </c:pt>
                <c:pt idx="3">
                  <c:v>1200</c:v>
                </c:pt>
                <c:pt idx="4">
                  <c:v>3220</c:v>
                </c:pt>
                <c:pt idx="5">
                  <c:v>2290</c:v>
                </c:pt>
                <c:pt idx="6">
                  <c:v>1785</c:v>
                </c:pt>
                <c:pt idx="7">
                  <c:v>1874</c:v>
                </c:pt>
                <c:pt idx="8">
                  <c:v>2420</c:v>
                </c:pt>
                <c:pt idx="9">
                  <c:v>1060</c:v>
                </c:pt>
                <c:pt idx="10">
                  <c:v>1810</c:v>
                </c:pt>
                <c:pt idx="11">
                  <c:v>1343</c:v>
                </c:pt>
                <c:pt idx="12">
                  <c:v>4471</c:v>
                </c:pt>
                <c:pt idx="13">
                  <c:v>1737</c:v>
                </c:pt>
                <c:pt idx="14">
                  <c:v>1100</c:v>
                </c:pt>
                <c:pt idx="15">
                  <c:v>384</c:v>
                </c:pt>
                <c:pt idx="16">
                  <c:v>1555</c:v>
                </c:pt>
                <c:pt idx="17">
                  <c:v>602</c:v>
                </c:pt>
              </c:numCache>
            </c:numRef>
          </c:val>
          <c:extLst>
            <c:ext xmlns:c16="http://schemas.microsoft.com/office/drawing/2014/chart" uri="{C3380CC4-5D6E-409C-BE32-E72D297353CC}">
              <c16:uniqueId val="{00000001-F3A9-4E6A-A40B-3620617ED47A}"/>
            </c:ext>
          </c:extLst>
        </c:ser>
        <c:ser>
          <c:idx val="2"/>
          <c:order val="2"/>
          <c:tx>
            <c:strRef>
              <c:f>Reviews!$D$2</c:f>
              <c:strCache>
                <c:ptCount val="1"/>
                <c:pt idx="0">
                  <c:v>Sum of Discounts</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c:spPr>
          <c:invertIfNegative val="0"/>
          <c:cat>
            <c:strRef>
              <c:f>Reviews!$A$3:$A$21</c:f>
              <c:strCache>
                <c:ptCount val="18"/>
                <c:pt idx="0">
                  <c:v>12V 19500rpm Handheld Electric Angle Grinder Tool - UK - Yellow/Black</c:v>
                </c:pt>
                <c:pt idx="1">
                  <c:v>1PC Refrigerator Food Seal Pocket Fridge Bags</c:v>
                </c:pt>
                <c:pt idx="2">
                  <c:v>2pcs Solar Street Light Flood Light Outdoor</c:v>
                </c:pt>
                <c:pt idx="3">
                  <c:v>3PCS Rotary Scraper Thermomix For Kitchen</c:v>
                </c:pt>
                <c:pt idx="4">
                  <c:v>4pcs Bathroom/Kitchen Towel Rack Roll Paper Holder Towel Bars Hook</c:v>
                </c:pt>
                <c:pt idx="5">
                  <c:v>5m Waterproof Spherical LED String Lights Outdoor Ball Chain Lights Party Lighting Decoration Adjustable</c:v>
                </c:pt>
                <c:pt idx="6">
                  <c:v>60W Hot Melt Glue Sprayer - Efficient And Stable Glue Dispensing</c:v>
                </c:pt>
                <c:pt idx="7">
                  <c:v>8in1 Screwdriver With LED Light</c:v>
                </c:pt>
                <c:pt idx="8">
                  <c:v>9pcs Gas Mask,  For Painting,  Dust,  Formaldehyde Grinding,  Polishing</c:v>
                </c:pt>
                <c:pt idx="9">
                  <c:v>Balloon Insert  Birthday Party Balloon Set  PU Leather</c:v>
                </c:pt>
                <c:pt idx="10">
                  <c:v>Cartoon Embroidered Mini Towel Bear Cotton Wash Cloth Hand 4pcs</c:v>
                </c:pt>
                <c:pt idx="11">
                  <c:v>Cute Christmas Fence Garden Decorations For Holiday Home</c:v>
                </c:pt>
                <c:pt idx="12">
                  <c:v>LASA Stainless Steel Double Wall Mount Soap Dispenser - 500ml</c:v>
                </c:pt>
                <c:pt idx="13">
                  <c:v>LED Solar Street Light-fake Camera</c:v>
                </c:pt>
                <c:pt idx="14">
                  <c:v>Multifunctional Hanging Storage Box Storage Bag (4 Layers)</c:v>
                </c:pt>
                <c:pt idx="15">
                  <c:v>Pilates Cloth Bag Waterproof Durable High Capacity Purple</c:v>
                </c:pt>
                <c:pt idx="16">
                  <c:v>VIC Wireless Vacuum Cleaner Dual Use For Home And Car 120W High Power Powerful</c:v>
                </c:pt>
                <c:pt idx="17">
                  <c:v>Watercolour Gold Foil Textured Print Pillow Cover</c:v>
                </c:pt>
              </c:strCache>
            </c:strRef>
          </c:cat>
          <c:val>
            <c:numRef>
              <c:f>Reviews!$D$3:$D$21</c:f>
              <c:numCache>
                <c:formatCode>General</c:formatCode>
                <c:ptCount val="18"/>
                <c:pt idx="0">
                  <c:v>1011</c:v>
                </c:pt>
                <c:pt idx="1">
                  <c:v>62</c:v>
                </c:pt>
                <c:pt idx="2">
                  <c:v>750</c:v>
                </c:pt>
                <c:pt idx="3">
                  <c:v>510</c:v>
                </c:pt>
                <c:pt idx="4">
                  <c:v>1360</c:v>
                </c:pt>
                <c:pt idx="5">
                  <c:v>830</c:v>
                </c:pt>
                <c:pt idx="6">
                  <c:v>595</c:v>
                </c:pt>
                <c:pt idx="7">
                  <c:v>794</c:v>
                </c:pt>
                <c:pt idx="8">
                  <c:v>1000</c:v>
                </c:pt>
                <c:pt idx="9">
                  <c:v>450</c:v>
                </c:pt>
                <c:pt idx="10">
                  <c:v>620</c:v>
                </c:pt>
                <c:pt idx="11">
                  <c:v>544</c:v>
                </c:pt>
                <c:pt idx="12">
                  <c:v>1721</c:v>
                </c:pt>
                <c:pt idx="13">
                  <c:v>587</c:v>
                </c:pt>
                <c:pt idx="14">
                  <c:v>470</c:v>
                </c:pt>
                <c:pt idx="15">
                  <c:v>85</c:v>
                </c:pt>
                <c:pt idx="16">
                  <c:v>335</c:v>
                </c:pt>
                <c:pt idx="17">
                  <c:v>257</c:v>
                </c:pt>
              </c:numCache>
            </c:numRef>
          </c:val>
          <c:extLst>
            <c:ext xmlns:c16="http://schemas.microsoft.com/office/drawing/2014/chart" uri="{C3380CC4-5D6E-409C-BE32-E72D297353CC}">
              <c16:uniqueId val="{00000002-F3A9-4E6A-A40B-3620617ED47A}"/>
            </c:ext>
          </c:extLst>
        </c:ser>
        <c:ser>
          <c:idx val="3"/>
          <c:order val="3"/>
          <c:tx>
            <c:strRef>
              <c:f>Reviews!$E$2</c:f>
              <c:strCache>
                <c:ptCount val="1"/>
                <c:pt idx="0">
                  <c:v>Sum of Rating</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c:spPr>
          <c:invertIfNegative val="0"/>
          <c:cat>
            <c:strRef>
              <c:f>Reviews!$A$3:$A$21</c:f>
              <c:strCache>
                <c:ptCount val="18"/>
                <c:pt idx="0">
                  <c:v>12V 19500rpm Handheld Electric Angle Grinder Tool - UK - Yellow/Black</c:v>
                </c:pt>
                <c:pt idx="1">
                  <c:v>1PC Refrigerator Food Seal Pocket Fridge Bags</c:v>
                </c:pt>
                <c:pt idx="2">
                  <c:v>2pcs Solar Street Light Flood Light Outdoor</c:v>
                </c:pt>
                <c:pt idx="3">
                  <c:v>3PCS Rotary Scraper Thermomix For Kitchen</c:v>
                </c:pt>
                <c:pt idx="4">
                  <c:v>4pcs Bathroom/Kitchen Towel Rack Roll Paper Holder Towel Bars Hook</c:v>
                </c:pt>
                <c:pt idx="5">
                  <c:v>5m Waterproof Spherical LED String Lights Outdoor Ball Chain Lights Party Lighting Decoration Adjustable</c:v>
                </c:pt>
                <c:pt idx="6">
                  <c:v>60W Hot Melt Glue Sprayer - Efficient And Stable Glue Dispensing</c:v>
                </c:pt>
                <c:pt idx="7">
                  <c:v>8in1 Screwdriver With LED Light</c:v>
                </c:pt>
                <c:pt idx="8">
                  <c:v>9pcs Gas Mask,  For Painting,  Dust,  Formaldehyde Grinding,  Polishing</c:v>
                </c:pt>
                <c:pt idx="9">
                  <c:v>Balloon Insert  Birthday Party Balloon Set  PU Leather</c:v>
                </c:pt>
                <c:pt idx="10">
                  <c:v>Cartoon Embroidered Mini Towel Bear Cotton Wash Cloth Hand 4pcs</c:v>
                </c:pt>
                <c:pt idx="11">
                  <c:v>Cute Christmas Fence Garden Decorations For Holiday Home</c:v>
                </c:pt>
                <c:pt idx="12">
                  <c:v>LASA Stainless Steel Double Wall Mount Soap Dispenser - 500ml</c:v>
                </c:pt>
                <c:pt idx="13">
                  <c:v>LED Solar Street Light-fake Camera</c:v>
                </c:pt>
                <c:pt idx="14">
                  <c:v>Multifunctional Hanging Storage Box Storage Bag (4 Layers)</c:v>
                </c:pt>
                <c:pt idx="15">
                  <c:v>Pilates Cloth Bag Waterproof Durable High Capacity Purple</c:v>
                </c:pt>
                <c:pt idx="16">
                  <c:v>VIC Wireless Vacuum Cleaner Dual Use For Home And Car 120W High Power Powerful</c:v>
                </c:pt>
                <c:pt idx="17">
                  <c:v>Watercolour Gold Foil Textured Print Pillow Cover</c:v>
                </c:pt>
              </c:strCache>
            </c:strRef>
          </c:cat>
          <c:val>
            <c:numRef>
              <c:f>Reviews!$E$3:$E$21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2.9</c:v>
                </c:pt>
                <c:pt idx="17">
                  <c:v>2.2999999999999998</c:v>
                </c:pt>
              </c:numCache>
            </c:numRef>
          </c:val>
          <c:extLst>
            <c:ext xmlns:c16="http://schemas.microsoft.com/office/drawing/2014/chart" uri="{C3380CC4-5D6E-409C-BE32-E72D297353CC}">
              <c16:uniqueId val="{00000003-F3A9-4E6A-A40B-3620617ED47A}"/>
            </c:ext>
          </c:extLst>
        </c:ser>
        <c:ser>
          <c:idx val="4"/>
          <c:order val="4"/>
          <c:tx>
            <c:strRef>
              <c:f>Reviews!$F$2</c:f>
              <c:strCache>
                <c:ptCount val="1"/>
                <c:pt idx="0">
                  <c:v>Average of Cleanreviews</c:v>
                </c:pt>
              </c:strCache>
            </c:strRef>
          </c:tx>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c:spPr>
          <c:invertIfNegative val="0"/>
          <c:cat>
            <c:strRef>
              <c:f>Reviews!$A$3:$A$21</c:f>
              <c:strCache>
                <c:ptCount val="18"/>
                <c:pt idx="0">
                  <c:v>12V 19500rpm Handheld Electric Angle Grinder Tool - UK - Yellow/Black</c:v>
                </c:pt>
                <c:pt idx="1">
                  <c:v>1PC Refrigerator Food Seal Pocket Fridge Bags</c:v>
                </c:pt>
                <c:pt idx="2">
                  <c:v>2pcs Solar Street Light Flood Light Outdoor</c:v>
                </c:pt>
                <c:pt idx="3">
                  <c:v>3PCS Rotary Scraper Thermomix For Kitchen</c:v>
                </c:pt>
                <c:pt idx="4">
                  <c:v>4pcs Bathroom/Kitchen Towel Rack Roll Paper Holder Towel Bars Hook</c:v>
                </c:pt>
                <c:pt idx="5">
                  <c:v>5m Waterproof Spherical LED String Lights Outdoor Ball Chain Lights Party Lighting Decoration Adjustable</c:v>
                </c:pt>
                <c:pt idx="6">
                  <c:v>60W Hot Melt Glue Sprayer - Efficient And Stable Glue Dispensing</c:v>
                </c:pt>
                <c:pt idx="7">
                  <c:v>8in1 Screwdriver With LED Light</c:v>
                </c:pt>
                <c:pt idx="8">
                  <c:v>9pcs Gas Mask,  For Painting,  Dust,  Formaldehyde Grinding,  Polishing</c:v>
                </c:pt>
                <c:pt idx="9">
                  <c:v>Balloon Insert  Birthday Party Balloon Set  PU Leather</c:v>
                </c:pt>
                <c:pt idx="10">
                  <c:v>Cartoon Embroidered Mini Towel Bear Cotton Wash Cloth Hand 4pcs</c:v>
                </c:pt>
                <c:pt idx="11">
                  <c:v>Cute Christmas Fence Garden Decorations For Holiday Home</c:v>
                </c:pt>
                <c:pt idx="12">
                  <c:v>LASA Stainless Steel Double Wall Mount Soap Dispenser - 500ml</c:v>
                </c:pt>
                <c:pt idx="13">
                  <c:v>LED Solar Street Light-fake Camera</c:v>
                </c:pt>
                <c:pt idx="14">
                  <c:v>Multifunctional Hanging Storage Box Storage Bag (4 Layers)</c:v>
                </c:pt>
                <c:pt idx="15">
                  <c:v>Pilates Cloth Bag Waterproof Durable High Capacity Purple</c:v>
                </c:pt>
                <c:pt idx="16">
                  <c:v>VIC Wireless Vacuum Cleaner Dual Use For Home And Car 120W High Power Powerful</c:v>
                </c:pt>
                <c:pt idx="17">
                  <c:v>Watercolour Gold Foil Textured Print Pillow Cover</c:v>
                </c:pt>
              </c:strCache>
            </c:strRef>
          </c:cat>
          <c:val>
            <c:numRef>
              <c:f>Reviews!$F$3:$F$21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16</c:v>
                </c:pt>
                <c:pt idx="17">
                  <c:v>6</c:v>
                </c:pt>
              </c:numCache>
            </c:numRef>
          </c:val>
          <c:extLst>
            <c:ext xmlns:c16="http://schemas.microsoft.com/office/drawing/2014/chart" uri="{C3380CC4-5D6E-409C-BE32-E72D297353CC}">
              <c16:uniqueId val="{00000004-F3A9-4E6A-A40B-3620617ED47A}"/>
            </c:ext>
          </c:extLst>
        </c:ser>
        <c:dLbls>
          <c:showLegendKey val="0"/>
          <c:showVal val="0"/>
          <c:showCatName val="0"/>
          <c:showSerName val="0"/>
          <c:showPercent val="0"/>
          <c:showBubbleSize val="0"/>
        </c:dLbls>
        <c:gapWidth val="100"/>
        <c:overlap val="-24"/>
        <c:axId val="707298528"/>
        <c:axId val="707305728"/>
      </c:barChart>
      <c:catAx>
        <c:axId val="707298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7305728"/>
        <c:crosses val="autoZero"/>
        <c:auto val="1"/>
        <c:lblAlgn val="ctr"/>
        <c:lblOffset val="100"/>
        <c:noMultiLvlLbl val="0"/>
      </c:catAx>
      <c:valAx>
        <c:axId val="7073057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729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assignment.xlsx]Discounts!PivotTable8</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Discount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Discounts!$B$1</c:f>
              <c:strCache>
                <c:ptCount val="1"/>
                <c:pt idx="0">
                  <c:v>Sum of Review</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invertIfNegative val="0"/>
          <c:cat>
            <c:multiLvlStrRef>
              <c:f>Discounts!$A$2:$A$20</c:f>
              <c:multiLvlStrCache>
                <c:ptCount val="9"/>
                <c:lvl>
                  <c:pt idx="0">
                    <c:v>3.8 out of 5</c:v>
                  </c:pt>
                  <c:pt idx="1">
                    <c:v>3.3 out of 5</c:v>
                  </c:pt>
                  <c:pt idx="2">
                    <c:v>4.3 out of 5</c:v>
                  </c:pt>
                  <c:pt idx="3">
                    <c:v>4 out of 5</c:v>
                  </c:pt>
                  <c:pt idx="4">
                    <c:v>4.3 out of 5</c:v>
                  </c:pt>
                  <c:pt idx="5">
                    <c:v>4.3 out of 5</c:v>
                  </c:pt>
                  <c:pt idx="6">
                    <c:v>3 out of 5</c:v>
                  </c:pt>
                  <c:pt idx="7">
                    <c:v>4.1 out of 5</c:v>
                  </c:pt>
                  <c:pt idx="8">
                    <c:v>3 out of 5</c:v>
                  </c:pt>
                </c:lvl>
                <c:lvl>
                  <c:pt idx="0">
                    <c:v>13 In 1 Home Repair Tools Box Kit Set</c:v>
                  </c:pt>
                  <c:pt idx="1">
                    <c:v>3PCS Single Head Knitting Crochet Sweater Needle Set</c:v>
                  </c:pt>
                  <c:pt idx="2">
                    <c:v>Exfoliate And Exfoliate Face Towel - Black</c:v>
                  </c:pt>
                  <c:pt idx="3">
                    <c:v>Household Pineapple Peeler Peeler</c:v>
                  </c:pt>
                  <c:pt idx="4">
                    <c:v>LASA 3 Tier Bamboo Shoe Bench Storage Shelf</c:v>
                  </c:pt>
                  <c:pt idx="5">
                    <c:v>LED Eye Protection  Desk Lamp  Study  Reading  USB Fan - Double Pen Holder</c:v>
                  </c:pt>
                  <c:pt idx="6">
                    <c:v>Memory Foam Neck Pillow Cover,  With Pillow Core - 50*30cm</c:v>
                  </c:pt>
                  <c:pt idx="7">
                    <c:v>Metal Decorative Hooks Key Hangers Entryway Wall Hooks Towel Hooks - Home</c:v>
                  </c:pt>
                  <c:pt idx="8">
                    <c:v>Mythco 120COB Solar Wall Ligt With Motion Sensor And Remote Control 3 Modes</c:v>
                  </c:pt>
                </c:lvl>
              </c:multiLvlStrCache>
            </c:multiLvlStrRef>
          </c:cat>
          <c:val>
            <c:numRef>
              <c:f>Discounts!$B$2:$B$20</c:f>
              <c:numCache>
                <c:formatCode>General</c:formatCode>
                <c:ptCount val="9"/>
                <c:pt idx="0">
                  <c:v>-5</c:v>
                </c:pt>
                <c:pt idx="1">
                  <c:v>-13</c:v>
                </c:pt>
                <c:pt idx="2">
                  <c:v>-9</c:v>
                </c:pt>
                <c:pt idx="3">
                  <c:v>-1</c:v>
                </c:pt>
                <c:pt idx="4">
                  <c:v>-7</c:v>
                </c:pt>
                <c:pt idx="5">
                  <c:v>-9</c:v>
                </c:pt>
                <c:pt idx="6">
                  <c:v>-1</c:v>
                </c:pt>
                <c:pt idx="7">
                  <c:v>-14</c:v>
                </c:pt>
                <c:pt idx="8">
                  <c:v>-10</c:v>
                </c:pt>
              </c:numCache>
            </c:numRef>
          </c:val>
          <c:extLst>
            <c:ext xmlns:c16="http://schemas.microsoft.com/office/drawing/2014/chart" uri="{C3380CC4-5D6E-409C-BE32-E72D297353CC}">
              <c16:uniqueId val="{00000000-CC1A-4C6D-97D9-82F194E51AFD}"/>
            </c:ext>
          </c:extLst>
        </c:ser>
        <c:ser>
          <c:idx val="1"/>
          <c:order val="1"/>
          <c:tx>
            <c:strRef>
              <c:f>Discounts!$C$1</c:f>
              <c:strCache>
                <c:ptCount val="1"/>
                <c:pt idx="0">
                  <c:v>Sum of Current prices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c:spPr>
          <c:invertIfNegative val="0"/>
          <c:cat>
            <c:multiLvlStrRef>
              <c:f>Discounts!$A$2:$A$20</c:f>
              <c:multiLvlStrCache>
                <c:ptCount val="9"/>
                <c:lvl>
                  <c:pt idx="0">
                    <c:v>3.8 out of 5</c:v>
                  </c:pt>
                  <c:pt idx="1">
                    <c:v>3.3 out of 5</c:v>
                  </c:pt>
                  <c:pt idx="2">
                    <c:v>4.3 out of 5</c:v>
                  </c:pt>
                  <c:pt idx="3">
                    <c:v>4 out of 5</c:v>
                  </c:pt>
                  <c:pt idx="4">
                    <c:v>4.3 out of 5</c:v>
                  </c:pt>
                  <c:pt idx="5">
                    <c:v>4.3 out of 5</c:v>
                  </c:pt>
                  <c:pt idx="6">
                    <c:v>3 out of 5</c:v>
                  </c:pt>
                  <c:pt idx="7">
                    <c:v>4.1 out of 5</c:v>
                  </c:pt>
                  <c:pt idx="8">
                    <c:v>3 out of 5</c:v>
                  </c:pt>
                </c:lvl>
                <c:lvl>
                  <c:pt idx="0">
                    <c:v>13 In 1 Home Repair Tools Box Kit Set</c:v>
                  </c:pt>
                  <c:pt idx="1">
                    <c:v>3PCS Single Head Knitting Crochet Sweater Needle Set</c:v>
                  </c:pt>
                  <c:pt idx="2">
                    <c:v>Exfoliate And Exfoliate Face Towel - Black</c:v>
                  </c:pt>
                  <c:pt idx="3">
                    <c:v>Household Pineapple Peeler Peeler</c:v>
                  </c:pt>
                  <c:pt idx="4">
                    <c:v>LASA 3 Tier Bamboo Shoe Bench Storage Shelf</c:v>
                  </c:pt>
                  <c:pt idx="5">
                    <c:v>LED Eye Protection  Desk Lamp  Study  Reading  USB Fan - Double Pen Holder</c:v>
                  </c:pt>
                  <c:pt idx="6">
                    <c:v>Memory Foam Neck Pillow Cover,  With Pillow Core - 50*30cm</c:v>
                  </c:pt>
                  <c:pt idx="7">
                    <c:v>Metal Decorative Hooks Key Hangers Entryway Wall Hooks Towel Hooks - Home</c:v>
                  </c:pt>
                  <c:pt idx="8">
                    <c:v>Mythco 120COB Solar Wall Ligt With Motion Sensor And Remote Control 3 Modes</c:v>
                  </c:pt>
                </c:lvl>
              </c:multiLvlStrCache>
            </c:multiLvlStrRef>
          </c:cat>
          <c:val>
            <c:numRef>
              <c:f>Discounts!$C$2:$C$20</c:f>
              <c:numCache>
                <c:formatCode>General</c:formatCode>
                <c:ptCount val="9"/>
                <c:pt idx="0">
                  <c:v>1600</c:v>
                </c:pt>
                <c:pt idx="1">
                  <c:v>38</c:v>
                </c:pt>
                <c:pt idx="2">
                  <c:v>185</c:v>
                </c:pt>
                <c:pt idx="3">
                  <c:v>330</c:v>
                </c:pt>
                <c:pt idx="4">
                  <c:v>2048</c:v>
                </c:pt>
                <c:pt idx="5">
                  <c:v>1820</c:v>
                </c:pt>
                <c:pt idx="6">
                  <c:v>1189</c:v>
                </c:pt>
                <c:pt idx="7">
                  <c:v>527</c:v>
                </c:pt>
                <c:pt idx="8">
                  <c:v>458</c:v>
                </c:pt>
              </c:numCache>
            </c:numRef>
          </c:val>
          <c:extLst>
            <c:ext xmlns:c16="http://schemas.microsoft.com/office/drawing/2014/chart" uri="{C3380CC4-5D6E-409C-BE32-E72D297353CC}">
              <c16:uniqueId val="{00000001-CC1A-4C6D-97D9-82F194E51AFD}"/>
            </c:ext>
          </c:extLst>
        </c:ser>
        <c:ser>
          <c:idx val="2"/>
          <c:order val="2"/>
          <c:tx>
            <c:strRef>
              <c:f>Discounts!$D$1</c:f>
              <c:strCache>
                <c:ptCount val="1"/>
                <c:pt idx="0">
                  <c:v>Sum of Old prices</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c:spPr>
          <c:invertIfNegative val="0"/>
          <c:cat>
            <c:multiLvlStrRef>
              <c:f>Discounts!$A$2:$A$20</c:f>
              <c:multiLvlStrCache>
                <c:ptCount val="9"/>
                <c:lvl>
                  <c:pt idx="0">
                    <c:v>3.8 out of 5</c:v>
                  </c:pt>
                  <c:pt idx="1">
                    <c:v>3.3 out of 5</c:v>
                  </c:pt>
                  <c:pt idx="2">
                    <c:v>4.3 out of 5</c:v>
                  </c:pt>
                  <c:pt idx="3">
                    <c:v>4 out of 5</c:v>
                  </c:pt>
                  <c:pt idx="4">
                    <c:v>4.3 out of 5</c:v>
                  </c:pt>
                  <c:pt idx="5">
                    <c:v>4.3 out of 5</c:v>
                  </c:pt>
                  <c:pt idx="6">
                    <c:v>3 out of 5</c:v>
                  </c:pt>
                  <c:pt idx="7">
                    <c:v>4.1 out of 5</c:v>
                  </c:pt>
                  <c:pt idx="8">
                    <c:v>3 out of 5</c:v>
                  </c:pt>
                </c:lvl>
                <c:lvl>
                  <c:pt idx="0">
                    <c:v>13 In 1 Home Repair Tools Box Kit Set</c:v>
                  </c:pt>
                  <c:pt idx="1">
                    <c:v>3PCS Single Head Knitting Crochet Sweater Needle Set</c:v>
                  </c:pt>
                  <c:pt idx="2">
                    <c:v>Exfoliate And Exfoliate Face Towel - Black</c:v>
                  </c:pt>
                  <c:pt idx="3">
                    <c:v>Household Pineapple Peeler Peeler</c:v>
                  </c:pt>
                  <c:pt idx="4">
                    <c:v>LASA 3 Tier Bamboo Shoe Bench Storage Shelf</c:v>
                  </c:pt>
                  <c:pt idx="5">
                    <c:v>LED Eye Protection  Desk Lamp  Study  Reading  USB Fan - Double Pen Holder</c:v>
                  </c:pt>
                  <c:pt idx="6">
                    <c:v>Memory Foam Neck Pillow Cover,  With Pillow Core - 50*30cm</c:v>
                  </c:pt>
                  <c:pt idx="7">
                    <c:v>Metal Decorative Hooks Key Hangers Entryway Wall Hooks Towel Hooks - Home</c:v>
                  </c:pt>
                  <c:pt idx="8">
                    <c:v>Mythco 120COB Solar Wall Ligt With Motion Sensor And Remote Control 3 Modes</c:v>
                  </c:pt>
                </c:lvl>
              </c:multiLvlStrCache>
            </c:multiLvlStrRef>
          </c:cat>
          <c:val>
            <c:numRef>
              <c:f>Discounts!$D$2:$D$20</c:f>
              <c:numCache>
                <c:formatCode>General</c:formatCode>
                <c:ptCount val="9"/>
                <c:pt idx="0">
                  <c:v>2929</c:v>
                </c:pt>
                <c:pt idx="1">
                  <c:v>80</c:v>
                </c:pt>
                <c:pt idx="2">
                  <c:v>382</c:v>
                </c:pt>
                <c:pt idx="3">
                  <c:v>647</c:v>
                </c:pt>
                <c:pt idx="4">
                  <c:v>4500</c:v>
                </c:pt>
                <c:pt idx="5">
                  <c:v>3490</c:v>
                </c:pt>
                <c:pt idx="6">
                  <c:v>2199</c:v>
                </c:pt>
                <c:pt idx="7">
                  <c:v>999</c:v>
                </c:pt>
                <c:pt idx="8">
                  <c:v>986</c:v>
                </c:pt>
              </c:numCache>
            </c:numRef>
          </c:val>
          <c:extLst>
            <c:ext xmlns:c16="http://schemas.microsoft.com/office/drawing/2014/chart" uri="{C3380CC4-5D6E-409C-BE32-E72D297353CC}">
              <c16:uniqueId val="{00000002-CC1A-4C6D-97D9-82F194E51AFD}"/>
            </c:ext>
          </c:extLst>
        </c:ser>
        <c:ser>
          <c:idx val="3"/>
          <c:order val="3"/>
          <c:tx>
            <c:strRef>
              <c:f>Discounts!$E$1</c:f>
              <c:strCache>
                <c:ptCount val="1"/>
                <c:pt idx="0">
                  <c:v>Average of Discounts</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c:spPr>
          <c:invertIfNegative val="0"/>
          <c:cat>
            <c:multiLvlStrRef>
              <c:f>Discounts!$A$2:$A$20</c:f>
              <c:multiLvlStrCache>
                <c:ptCount val="9"/>
                <c:lvl>
                  <c:pt idx="0">
                    <c:v>3.8 out of 5</c:v>
                  </c:pt>
                  <c:pt idx="1">
                    <c:v>3.3 out of 5</c:v>
                  </c:pt>
                  <c:pt idx="2">
                    <c:v>4.3 out of 5</c:v>
                  </c:pt>
                  <c:pt idx="3">
                    <c:v>4 out of 5</c:v>
                  </c:pt>
                  <c:pt idx="4">
                    <c:v>4.3 out of 5</c:v>
                  </c:pt>
                  <c:pt idx="5">
                    <c:v>4.3 out of 5</c:v>
                  </c:pt>
                  <c:pt idx="6">
                    <c:v>3 out of 5</c:v>
                  </c:pt>
                  <c:pt idx="7">
                    <c:v>4.1 out of 5</c:v>
                  </c:pt>
                  <c:pt idx="8">
                    <c:v>3 out of 5</c:v>
                  </c:pt>
                </c:lvl>
                <c:lvl>
                  <c:pt idx="0">
                    <c:v>13 In 1 Home Repair Tools Box Kit Set</c:v>
                  </c:pt>
                  <c:pt idx="1">
                    <c:v>3PCS Single Head Knitting Crochet Sweater Needle Set</c:v>
                  </c:pt>
                  <c:pt idx="2">
                    <c:v>Exfoliate And Exfoliate Face Towel - Black</c:v>
                  </c:pt>
                  <c:pt idx="3">
                    <c:v>Household Pineapple Peeler Peeler</c:v>
                  </c:pt>
                  <c:pt idx="4">
                    <c:v>LASA 3 Tier Bamboo Shoe Bench Storage Shelf</c:v>
                  </c:pt>
                  <c:pt idx="5">
                    <c:v>LED Eye Protection  Desk Lamp  Study  Reading  USB Fan - Double Pen Holder</c:v>
                  </c:pt>
                  <c:pt idx="6">
                    <c:v>Memory Foam Neck Pillow Cover,  With Pillow Core - 50*30cm</c:v>
                  </c:pt>
                  <c:pt idx="7">
                    <c:v>Metal Decorative Hooks Key Hangers Entryway Wall Hooks Towel Hooks - Home</c:v>
                  </c:pt>
                  <c:pt idx="8">
                    <c:v>Mythco 120COB Solar Wall Ligt With Motion Sensor And Remote Control 3 Modes</c:v>
                  </c:pt>
                </c:lvl>
              </c:multiLvlStrCache>
            </c:multiLvlStrRef>
          </c:cat>
          <c:val>
            <c:numRef>
              <c:f>Discounts!$E$2:$E$20</c:f>
              <c:numCache>
                <c:formatCode>General</c:formatCode>
                <c:ptCount val="9"/>
                <c:pt idx="0">
                  <c:v>1329</c:v>
                </c:pt>
                <c:pt idx="1">
                  <c:v>42</c:v>
                </c:pt>
                <c:pt idx="2">
                  <c:v>197</c:v>
                </c:pt>
                <c:pt idx="3">
                  <c:v>317</c:v>
                </c:pt>
                <c:pt idx="4">
                  <c:v>2452</c:v>
                </c:pt>
                <c:pt idx="5">
                  <c:v>1670</c:v>
                </c:pt>
                <c:pt idx="6">
                  <c:v>1010</c:v>
                </c:pt>
                <c:pt idx="7">
                  <c:v>472</c:v>
                </c:pt>
                <c:pt idx="8">
                  <c:v>528</c:v>
                </c:pt>
              </c:numCache>
            </c:numRef>
          </c:val>
          <c:extLst>
            <c:ext xmlns:c16="http://schemas.microsoft.com/office/drawing/2014/chart" uri="{C3380CC4-5D6E-409C-BE32-E72D297353CC}">
              <c16:uniqueId val="{00000003-CC1A-4C6D-97D9-82F194E51AFD}"/>
            </c:ext>
          </c:extLst>
        </c:ser>
        <c:ser>
          <c:idx val="4"/>
          <c:order val="4"/>
          <c:tx>
            <c:strRef>
              <c:f>Discounts!$F$1</c:f>
              <c:strCache>
                <c:ptCount val="1"/>
                <c:pt idx="0">
                  <c:v>Sum of Rating</c:v>
                </c:pt>
              </c:strCache>
            </c:strRef>
          </c:tx>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c:spPr>
          <c:invertIfNegative val="0"/>
          <c:cat>
            <c:multiLvlStrRef>
              <c:f>Discounts!$A$2:$A$20</c:f>
              <c:multiLvlStrCache>
                <c:ptCount val="9"/>
                <c:lvl>
                  <c:pt idx="0">
                    <c:v>3.8 out of 5</c:v>
                  </c:pt>
                  <c:pt idx="1">
                    <c:v>3.3 out of 5</c:v>
                  </c:pt>
                  <c:pt idx="2">
                    <c:v>4.3 out of 5</c:v>
                  </c:pt>
                  <c:pt idx="3">
                    <c:v>4 out of 5</c:v>
                  </c:pt>
                  <c:pt idx="4">
                    <c:v>4.3 out of 5</c:v>
                  </c:pt>
                  <c:pt idx="5">
                    <c:v>4.3 out of 5</c:v>
                  </c:pt>
                  <c:pt idx="6">
                    <c:v>3 out of 5</c:v>
                  </c:pt>
                  <c:pt idx="7">
                    <c:v>4.1 out of 5</c:v>
                  </c:pt>
                  <c:pt idx="8">
                    <c:v>3 out of 5</c:v>
                  </c:pt>
                </c:lvl>
                <c:lvl>
                  <c:pt idx="0">
                    <c:v>13 In 1 Home Repair Tools Box Kit Set</c:v>
                  </c:pt>
                  <c:pt idx="1">
                    <c:v>3PCS Single Head Knitting Crochet Sweater Needle Set</c:v>
                  </c:pt>
                  <c:pt idx="2">
                    <c:v>Exfoliate And Exfoliate Face Towel - Black</c:v>
                  </c:pt>
                  <c:pt idx="3">
                    <c:v>Household Pineapple Peeler Peeler</c:v>
                  </c:pt>
                  <c:pt idx="4">
                    <c:v>LASA 3 Tier Bamboo Shoe Bench Storage Shelf</c:v>
                  </c:pt>
                  <c:pt idx="5">
                    <c:v>LED Eye Protection  Desk Lamp  Study  Reading  USB Fan - Double Pen Holder</c:v>
                  </c:pt>
                  <c:pt idx="6">
                    <c:v>Memory Foam Neck Pillow Cover,  With Pillow Core - 50*30cm</c:v>
                  </c:pt>
                  <c:pt idx="7">
                    <c:v>Metal Decorative Hooks Key Hangers Entryway Wall Hooks Towel Hooks - Home</c:v>
                  </c:pt>
                  <c:pt idx="8">
                    <c:v>Mythco 120COB Solar Wall Ligt With Motion Sensor And Remote Control 3 Modes</c:v>
                  </c:pt>
                </c:lvl>
              </c:multiLvlStrCache>
            </c:multiLvlStrRef>
          </c:cat>
          <c:val>
            <c:numRef>
              <c:f>Discounts!$F$2:$F$20</c:f>
              <c:numCache>
                <c:formatCode>General</c:formatCode>
                <c:ptCount val="9"/>
                <c:pt idx="0">
                  <c:v>3.8</c:v>
                </c:pt>
                <c:pt idx="1">
                  <c:v>3.3</c:v>
                </c:pt>
                <c:pt idx="2">
                  <c:v>4.3</c:v>
                </c:pt>
                <c:pt idx="3">
                  <c:v>4</c:v>
                </c:pt>
                <c:pt idx="4">
                  <c:v>4.3</c:v>
                </c:pt>
                <c:pt idx="5">
                  <c:v>4.3</c:v>
                </c:pt>
                <c:pt idx="6">
                  <c:v>3</c:v>
                </c:pt>
                <c:pt idx="7">
                  <c:v>4.0999999999999996</c:v>
                </c:pt>
                <c:pt idx="8">
                  <c:v>3</c:v>
                </c:pt>
              </c:numCache>
            </c:numRef>
          </c:val>
          <c:extLst>
            <c:ext xmlns:c16="http://schemas.microsoft.com/office/drawing/2014/chart" uri="{C3380CC4-5D6E-409C-BE32-E72D297353CC}">
              <c16:uniqueId val="{00000004-CC1A-4C6D-97D9-82F194E51AFD}"/>
            </c:ext>
          </c:extLst>
        </c:ser>
        <c:dLbls>
          <c:showLegendKey val="0"/>
          <c:showVal val="0"/>
          <c:showCatName val="0"/>
          <c:showSerName val="0"/>
          <c:showPercent val="0"/>
          <c:showBubbleSize val="0"/>
        </c:dLbls>
        <c:gapWidth val="100"/>
        <c:axId val="628992128"/>
        <c:axId val="628995968"/>
      </c:barChart>
      <c:catAx>
        <c:axId val="6289921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995968"/>
        <c:crosses val="autoZero"/>
        <c:auto val="1"/>
        <c:lblAlgn val="ctr"/>
        <c:lblOffset val="100"/>
        <c:noMultiLvlLbl val="0"/>
      </c:catAx>
      <c:valAx>
        <c:axId val="62899596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99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 Cleanreviews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Main!$N$1</c:f>
              <c:strCache>
                <c:ptCount val="1"/>
                <c:pt idx="0">
                  <c:v>Cleanreviews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Main!$E$2:$E$117</c:f>
              <c:numCache>
                <c:formatCode>0%</c:formatCode>
                <c:ptCount val="116"/>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Main!$N$2:$N$117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32F0-4D50-A620-E7200B2C6924}"/>
            </c:ext>
          </c:extLst>
        </c:ser>
        <c:dLbls>
          <c:showLegendKey val="0"/>
          <c:showVal val="0"/>
          <c:showCatName val="0"/>
          <c:showSerName val="0"/>
          <c:showPercent val="0"/>
          <c:showBubbleSize val="0"/>
        </c:dLbls>
        <c:axId val="560775856"/>
        <c:axId val="560780176"/>
      </c:scatterChart>
      <c:valAx>
        <c:axId val="5607758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80176"/>
        <c:crosses val="autoZero"/>
        <c:crossBetween val="midCat"/>
      </c:valAx>
      <c:valAx>
        <c:axId val="56078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75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 Cleanreviews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Main!$N$1</c:f>
              <c:strCache>
                <c:ptCount val="1"/>
                <c:pt idx="0">
                  <c:v>Cleanreviews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Main!$K$2:$K$117</c:f>
              <c:numCache>
                <c:formatCode>General</c:formatCode>
                <c:ptCount val="11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pt idx="113">
                  <c:v>1.9794642857142855</c:v>
                </c:pt>
              </c:numCache>
            </c:numRef>
          </c:xVal>
          <c:yVal>
            <c:numRef>
              <c:f>Main!$N$2:$N$117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95ED-4DEC-887E-6169D5A619E3}"/>
            </c:ext>
          </c:extLst>
        </c:ser>
        <c:dLbls>
          <c:showLegendKey val="0"/>
          <c:showVal val="0"/>
          <c:showCatName val="0"/>
          <c:showSerName val="0"/>
          <c:showPercent val="0"/>
          <c:showBubbleSize val="0"/>
        </c:dLbls>
        <c:axId val="520156048"/>
        <c:axId val="520157488"/>
      </c:scatterChart>
      <c:valAx>
        <c:axId val="52015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57488"/>
        <c:crosses val="autoZero"/>
        <c:crossBetween val="midCat"/>
      </c:valAx>
      <c:valAx>
        <c:axId val="52015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560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Dashboard!$O$92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E0-403C-9770-4D4D17709B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E0-403C-9770-4D4D17709B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E0-403C-9770-4D4D17709B91}"/>
              </c:ext>
            </c:extLst>
          </c:dPt>
          <c:cat>
            <c:strRef>
              <c:f>Dashboard!$N$93:$N$96</c:f>
              <c:strCache>
                <c:ptCount val="3"/>
                <c:pt idx="0">
                  <c:v>Average</c:v>
                </c:pt>
                <c:pt idx="1">
                  <c:v>Excellent</c:v>
                </c:pt>
                <c:pt idx="2">
                  <c:v>Poor</c:v>
                </c:pt>
              </c:strCache>
            </c:strRef>
          </c:cat>
          <c:val>
            <c:numRef>
              <c:f>Dashboard!$O$93:$O$96</c:f>
              <c:numCache>
                <c:formatCode>General</c:formatCode>
                <c:ptCount val="3"/>
                <c:pt idx="0">
                  <c:v>22</c:v>
                </c:pt>
                <c:pt idx="1">
                  <c:v>23</c:v>
                </c:pt>
                <c:pt idx="2">
                  <c:v>67</c:v>
                </c:pt>
              </c:numCache>
            </c:numRef>
          </c:val>
          <c:extLst>
            <c:ext xmlns:c16="http://schemas.microsoft.com/office/drawing/2014/chart" uri="{C3380CC4-5D6E-409C-BE32-E72D297353CC}">
              <c16:uniqueId val="{00000000-A6CA-4CE3-8988-D7AF12A78E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assignment.xlsx]Dashboard!PivotTable6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Dashboard!$O$77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EE-480F-B15D-783D760805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EE-480F-B15D-783D760805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EE-480F-B15D-783D76080502}"/>
              </c:ext>
            </c:extLst>
          </c:dPt>
          <c:cat>
            <c:strRef>
              <c:f>Dashboard!$N$78:$N$81</c:f>
              <c:strCache>
                <c:ptCount val="3"/>
                <c:pt idx="0">
                  <c:v>High Discount</c:v>
                </c:pt>
                <c:pt idx="1">
                  <c:v>Low Discount</c:v>
                </c:pt>
                <c:pt idx="2">
                  <c:v>Medium Discount</c:v>
                </c:pt>
              </c:strCache>
            </c:strRef>
          </c:cat>
          <c:val>
            <c:numRef>
              <c:f>Dashboard!$O$78:$O$81</c:f>
              <c:numCache>
                <c:formatCode>General</c:formatCode>
                <c:ptCount val="3"/>
                <c:pt idx="0">
                  <c:v>51</c:v>
                </c:pt>
                <c:pt idx="1">
                  <c:v>18</c:v>
                </c:pt>
                <c:pt idx="2">
                  <c:v>43</c:v>
                </c:pt>
              </c:numCache>
            </c:numRef>
          </c:val>
          <c:extLst>
            <c:ext xmlns:c16="http://schemas.microsoft.com/office/drawing/2014/chart" uri="{C3380CC4-5D6E-409C-BE32-E72D297353CC}">
              <c16:uniqueId val="{00000000-A92E-4846-8336-280D5CE72B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a:t>
            </a:r>
            <a:r>
              <a:rPr lang="en-US" baseline="0"/>
              <a:t> </a:t>
            </a:r>
            <a:r>
              <a:rPr lang="en-US"/>
              <a:t>Cleanreviews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Main!$N$1</c:f>
              <c:strCache>
                <c:ptCount val="1"/>
                <c:pt idx="0">
                  <c:v>Cleanreviews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Main!$E$2:$E$117</c:f>
              <c:numCache>
                <c:formatCode>0%</c:formatCode>
                <c:ptCount val="116"/>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Main!$N$2:$N$117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9431-4C86-A9C6-6309951B57C1}"/>
            </c:ext>
          </c:extLst>
        </c:ser>
        <c:dLbls>
          <c:showLegendKey val="0"/>
          <c:showVal val="0"/>
          <c:showCatName val="0"/>
          <c:showSerName val="0"/>
          <c:showPercent val="0"/>
          <c:showBubbleSize val="0"/>
        </c:dLbls>
        <c:axId val="1242839632"/>
        <c:axId val="1242838192"/>
      </c:scatterChart>
      <c:valAx>
        <c:axId val="1242839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38192"/>
        <c:crosses val="autoZero"/>
        <c:crossBetween val="midCat"/>
      </c:valAx>
      <c:valAx>
        <c:axId val="124283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396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 Cleanreviews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Main!$N$1</c:f>
              <c:strCache>
                <c:ptCount val="1"/>
                <c:pt idx="0">
                  <c:v>Cleanreviews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Main!$K$2:$K$117</c:f>
              <c:numCache>
                <c:formatCode>General</c:formatCode>
                <c:ptCount val="11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pt idx="113">
                  <c:v>1.9794642857142855</c:v>
                </c:pt>
              </c:numCache>
            </c:numRef>
          </c:xVal>
          <c:yVal>
            <c:numRef>
              <c:f>Main!$N$2:$N$117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0C23-43E2-9B1F-E2F26EB0F407}"/>
            </c:ext>
          </c:extLst>
        </c:ser>
        <c:dLbls>
          <c:showLegendKey val="0"/>
          <c:showVal val="0"/>
          <c:showCatName val="0"/>
          <c:showSerName val="0"/>
          <c:showPercent val="0"/>
          <c:showBubbleSize val="0"/>
        </c:dLbls>
        <c:axId val="627408224"/>
        <c:axId val="627416384"/>
      </c:scatterChart>
      <c:valAx>
        <c:axId val="62740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16384"/>
        <c:crosses val="autoZero"/>
        <c:crossBetween val="midCat"/>
      </c:valAx>
      <c:valAx>
        <c:axId val="6274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082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195382</xdr:colOff>
      <xdr:row>37</xdr:row>
      <xdr:rowOff>170962</xdr:rowOff>
    </xdr:from>
    <xdr:to>
      <xdr:col>13</xdr:col>
      <xdr:colOff>48843</xdr:colOff>
      <xdr:row>54</xdr:row>
      <xdr:rowOff>61059</xdr:rowOff>
    </xdr:to>
    <xdr:graphicFrame macro="">
      <xdr:nvGraphicFramePr>
        <xdr:cNvPr id="2" name="Chart 1">
          <a:extLst>
            <a:ext uri="{FF2B5EF4-FFF2-40B4-BE49-F238E27FC236}">
              <a16:creationId xmlns:a16="http://schemas.microsoft.com/office/drawing/2014/main" id="{46700D63-062C-425E-B21E-35D18BF9E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185062</xdr:colOff>
      <xdr:row>2</xdr:row>
      <xdr:rowOff>72025</xdr:rowOff>
    </xdr:from>
    <xdr:to>
      <xdr:col>13</xdr:col>
      <xdr:colOff>79110</xdr:colOff>
      <xdr:row>16</xdr:row>
      <xdr:rowOff>140298</xdr:rowOff>
    </xdr:to>
    <xdr:graphicFrame macro="">
      <xdr:nvGraphicFramePr>
        <xdr:cNvPr id="3" name="Chart 2">
          <a:extLst>
            <a:ext uri="{FF2B5EF4-FFF2-40B4-BE49-F238E27FC236}">
              <a16:creationId xmlns:a16="http://schemas.microsoft.com/office/drawing/2014/main" id="{CAF79DB7-A5DF-46EB-937E-10B27FEBD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195385</xdr:colOff>
      <xdr:row>19</xdr:row>
      <xdr:rowOff>24423</xdr:rowOff>
    </xdr:from>
    <xdr:to>
      <xdr:col>13</xdr:col>
      <xdr:colOff>97693</xdr:colOff>
      <xdr:row>35</xdr:row>
      <xdr:rowOff>40028</xdr:rowOff>
    </xdr:to>
    <xdr:graphicFrame macro="">
      <xdr:nvGraphicFramePr>
        <xdr:cNvPr id="5" name="Chart 4">
          <a:extLst>
            <a:ext uri="{FF2B5EF4-FFF2-40B4-BE49-F238E27FC236}">
              <a16:creationId xmlns:a16="http://schemas.microsoft.com/office/drawing/2014/main" id="{6414AB1D-6BDB-4A62-9B1F-86F7BC42E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607638</xdr:colOff>
      <xdr:row>45</xdr:row>
      <xdr:rowOff>25067</xdr:rowOff>
    </xdr:from>
    <xdr:to>
      <xdr:col>6</xdr:col>
      <xdr:colOff>99509</xdr:colOff>
      <xdr:row>51</xdr:row>
      <xdr:rowOff>191603</xdr:rowOff>
    </xdr:to>
    <mc:AlternateContent xmlns:mc="http://schemas.openxmlformats.org/markup-compatibility/2006" xmlns:a14="http://schemas.microsoft.com/office/drawing/2010/main">
      <mc:Choice Requires="a14">
        <xdr:graphicFrame macro="">
          <xdr:nvGraphicFramePr>
            <xdr:cNvPr id="4" name="Rate Category 3">
              <a:extLst>
                <a:ext uri="{FF2B5EF4-FFF2-40B4-BE49-F238E27FC236}">
                  <a16:creationId xmlns:a16="http://schemas.microsoft.com/office/drawing/2014/main" id="{193DC0EA-2006-7B83-EC03-1C690DF36888}"/>
                </a:ext>
              </a:extLst>
            </xdr:cNvPr>
            <xdr:cNvGraphicFramePr/>
          </xdr:nvGraphicFramePr>
          <xdr:xfrm>
            <a:off x="0" y="0"/>
            <a:ext cx="0" cy="0"/>
          </xdr:xfrm>
          <a:graphic>
            <a:graphicData uri="http://schemas.microsoft.com/office/drawing/2010/slicer">
              <sle:slicer xmlns:sle="http://schemas.microsoft.com/office/drawing/2010/slicer" name="Rate Category 3"/>
            </a:graphicData>
          </a:graphic>
        </xdr:graphicFrame>
      </mc:Choice>
      <mc:Fallback xmlns="">
        <xdr:sp macro="" textlink="">
          <xdr:nvSpPr>
            <xdr:cNvPr id="0" name=""/>
            <xdr:cNvSpPr>
              <a:spLocks noTextEdit="1"/>
            </xdr:cNvSpPr>
          </xdr:nvSpPr>
          <xdr:spPr>
            <a:xfrm>
              <a:off x="3959943" y="9488216"/>
              <a:ext cx="1817456" cy="1428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154848</xdr:colOff>
      <xdr:row>39</xdr:row>
      <xdr:rowOff>718</xdr:rowOff>
    </xdr:from>
    <xdr:to>
      <xdr:col>16</xdr:col>
      <xdr:colOff>102475</xdr:colOff>
      <xdr:row>46</xdr:row>
      <xdr:rowOff>70917</xdr:rowOff>
    </xdr:to>
    <mc:AlternateContent xmlns:mc="http://schemas.openxmlformats.org/markup-compatibility/2006" xmlns:a14="http://schemas.microsoft.com/office/drawing/2010/main">
      <mc:Choice Requires="a14">
        <xdr:graphicFrame macro="">
          <xdr:nvGraphicFramePr>
            <xdr:cNvPr id="6" name="Discount Category 3">
              <a:extLst>
                <a:ext uri="{FF2B5EF4-FFF2-40B4-BE49-F238E27FC236}">
                  <a16:creationId xmlns:a16="http://schemas.microsoft.com/office/drawing/2014/main" id="{CEB96E5C-175F-389F-8CEF-DDE4C1D95D7E}"/>
                </a:ext>
              </a:extLst>
            </xdr:cNvPr>
            <xdr:cNvGraphicFramePr/>
          </xdr:nvGraphicFramePr>
          <xdr:xfrm>
            <a:off x="0" y="0"/>
            <a:ext cx="0" cy="0"/>
          </xdr:xfrm>
          <a:graphic>
            <a:graphicData uri="http://schemas.microsoft.com/office/drawing/2010/slicer">
              <sle:slicer xmlns:sle="http://schemas.microsoft.com/office/drawing/2010/slicer" name="Discount Category 3"/>
            </a:graphicData>
          </a:graphic>
        </xdr:graphicFrame>
      </mc:Choice>
      <mc:Fallback xmlns="">
        <xdr:sp macro="" textlink="">
          <xdr:nvSpPr>
            <xdr:cNvPr id="0" name=""/>
            <xdr:cNvSpPr>
              <a:spLocks noTextEdit="1"/>
            </xdr:cNvSpPr>
          </xdr:nvSpPr>
          <xdr:spPr>
            <a:xfrm>
              <a:off x="14219686" y="8202114"/>
              <a:ext cx="1840257" cy="1542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124818</xdr:colOff>
      <xdr:row>10</xdr:row>
      <xdr:rowOff>129129</xdr:rowOff>
    </xdr:from>
    <xdr:to>
      <xdr:col>5</xdr:col>
      <xdr:colOff>304797</xdr:colOff>
      <xdr:row>16</xdr:row>
      <xdr:rowOff>15274</xdr:rowOff>
    </xdr:to>
    <mc:AlternateContent xmlns:mc="http://schemas.openxmlformats.org/markup-compatibility/2006" xmlns:a14="http://schemas.microsoft.com/office/drawing/2010/main">
      <mc:Choice Requires="a14">
        <xdr:graphicFrame macro="">
          <xdr:nvGraphicFramePr>
            <xdr:cNvPr id="7" name="Rate Category 4">
              <a:extLst>
                <a:ext uri="{FF2B5EF4-FFF2-40B4-BE49-F238E27FC236}">
                  <a16:creationId xmlns:a16="http://schemas.microsoft.com/office/drawing/2014/main" id="{DED7FBC1-E9A1-808D-84F8-D74141DDD75C}"/>
                </a:ext>
              </a:extLst>
            </xdr:cNvPr>
            <xdr:cNvGraphicFramePr/>
          </xdr:nvGraphicFramePr>
          <xdr:xfrm>
            <a:off x="0" y="0"/>
            <a:ext cx="0" cy="0"/>
          </xdr:xfrm>
          <a:graphic>
            <a:graphicData uri="http://schemas.microsoft.com/office/drawing/2010/slicer">
              <sle:slicer xmlns:sle="http://schemas.microsoft.com/office/drawing/2010/slicer" name="Rate Category 4"/>
            </a:graphicData>
          </a:graphic>
        </xdr:graphicFrame>
      </mc:Choice>
      <mc:Fallback xmlns="">
        <xdr:sp macro="" textlink="">
          <xdr:nvSpPr>
            <xdr:cNvPr id="0" name=""/>
            <xdr:cNvSpPr>
              <a:spLocks noTextEdit="1"/>
            </xdr:cNvSpPr>
          </xdr:nvSpPr>
          <xdr:spPr>
            <a:xfrm>
              <a:off x="3477123" y="2232051"/>
              <a:ext cx="1825206" cy="1147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122318</xdr:colOff>
      <xdr:row>3</xdr:row>
      <xdr:rowOff>45936</xdr:rowOff>
    </xdr:from>
    <xdr:to>
      <xdr:col>16</xdr:col>
      <xdr:colOff>68262</xdr:colOff>
      <xdr:row>8</xdr:row>
      <xdr:rowOff>167398</xdr:rowOff>
    </xdr:to>
    <mc:AlternateContent xmlns:mc="http://schemas.openxmlformats.org/markup-compatibility/2006" xmlns:a14="http://schemas.microsoft.com/office/drawing/2010/main">
      <mc:Choice Requires="a14">
        <xdr:graphicFrame macro="">
          <xdr:nvGraphicFramePr>
            <xdr:cNvPr id="8" name="Discount Category 4">
              <a:extLst>
                <a:ext uri="{FF2B5EF4-FFF2-40B4-BE49-F238E27FC236}">
                  <a16:creationId xmlns:a16="http://schemas.microsoft.com/office/drawing/2014/main" id="{0A12B6CC-D3E6-A860-6639-0238FD8BEB4A}"/>
                </a:ext>
              </a:extLst>
            </xdr:cNvPr>
            <xdr:cNvGraphicFramePr/>
          </xdr:nvGraphicFramePr>
          <xdr:xfrm>
            <a:off x="0" y="0"/>
            <a:ext cx="0" cy="0"/>
          </xdr:xfrm>
          <a:graphic>
            <a:graphicData uri="http://schemas.microsoft.com/office/drawing/2010/slicer">
              <sle:slicer xmlns:sle="http://schemas.microsoft.com/office/drawing/2010/slicer" name="Discount Category 4"/>
            </a:graphicData>
          </a:graphic>
        </xdr:graphicFrame>
      </mc:Choice>
      <mc:Fallback xmlns="">
        <xdr:sp macro="" textlink="">
          <xdr:nvSpPr>
            <xdr:cNvPr id="0" name=""/>
            <xdr:cNvSpPr>
              <a:spLocks noTextEdit="1"/>
            </xdr:cNvSpPr>
          </xdr:nvSpPr>
          <xdr:spPr>
            <a:xfrm>
              <a:off x="14187156" y="676813"/>
              <a:ext cx="1838574" cy="1172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130966</xdr:colOff>
      <xdr:row>27</xdr:row>
      <xdr:rowOff>176494</xdr:rowOff>
    </xdr:from>
    <xdr:to>
      <xdr:col>5</xdr:col>
      <xdr:colOff>313471</xdr:colOff>
      <xdr:row>33</xdr:row>
      <xdr:rowOff>55536</xdr:rowOff>
    </xdr:to>
    <mc:AlternateContent xmlns:mc="http://schemas.openxmlformats.org/markup-compatibility/2006" xmlns:a14="http://schemas.microsoft.com/office/drawing/2010/main">
      <mc:Choice Requires="a14">
        <xdr:graphicFrame macro="">
          <xdr:nvGraphicFramePr>
            <xdr:cNvPr id="9" name="Rate Category 5">
              <a:extLst>
                <a:ext uri="{FF2B5EF4-FFF2-40B4-BE49-F238E27FC236}">
                  <a16:creationId xmlns:a16="http://schemas.microsoft.com/office/drawing/2014/main" id="{2DFF3647-8F5D-87EB-20BD-964FE0A78530}"/>
                </a:ext>
              </a:extLst>
            </xdr:cNvPr>
            <xdr:cNvGraphicFramePr/>
          </xdr:nvGraphicFramePr>
          <xdr:xfrm>
            <a:off x="0" y="0"/>
            <a:ext cx="0" cy="0"/>
          </xdr:xfrm>
          <a:graphic>
            <a:graphicData uri="http://schemas.microsoft.com/office/drawing/2010/slicer">
              <sle:slicer xmlns:sle="http://schemas.microsoft.com/office/drawing/2010/slicer" name="Rate Category 5"/>
            </a:graphicData>
          </a:graphic>
        </xdr:graphicFrame>
      </mc:Choice>
      <mc:Fallback xmlns="">
        <xdr:sp macro="" textlink="">
          <xdr:nvSpPr>
            <xdr:cNvPr id="0" name=""/>
            <xdr:cNvSpPr>
              <a:spLocks noTextEdit="1"/>
            </xdr:cNvSpPr>
          </xdr:nvSpPr>
          <xdr:spPr>
            <a:xfrm>
              <a:off x="3483271" y="5854384"/>
              <a:ext cx="1827732" cy="1140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212895</xdr:colOff>
      <xdr:row>19</xdr:row>
      <xdr:rowOff>138307</xdr:rowOff>
    </xdr:from>
    <xdr:to>
      <xdr:col>16</xdr:col>
      <xdr:colOff>163051</xdr:colOff>
      <xdr:row>25</xdr:row>
      <xdr:rowOff>15790</xdr:rowOff>
    </xdr:to>
    <mc:AlternateContent xmlns:mc="http://schemas.openxmlformats.org/markup-compatibility/2006" xmlns:a14="http://schemas.microsoft.com/office/drawing/2010/main">
      <mc:Choice Requires="a14">
        <xdr:graphicFrame macro="">
          <xdr:nvGraphicFramePr>
            <xdr:cNvPr id="10" name="Discount Category 5">
              <a:extLst>
                <a:ext uri="{FF2B5EF4-FFF2-40B4-BE49-F238E27FC236}">
                  <a16:creationId xmlns:a16="http://schemas.microsoft.com/office/drawing/2014/main" id="{CFB5DD69-A65D-6C62-E8C8-C486EDC90474}"/>
                </a:ext>
              </a:extLst>
            </xdr:cNvPr>
            <xdr:cNvGraphicFramePr/>
          </xdr:nvGraphicFramePr>
          <xdr:xfrm>
            <a:off x="0" y="0"/>
            <a:ext cx="0" cy="0"/>
          </xdr:xfrm>
          <a:graphic>
            <a:graphicData uri="http://schemas.microsoft.com/office/drawing/2010/slicer">
              <sle:slicer xmlns:sle="http://schemas.microsoft.com/office/drawing/2010/slicer" name="Discount Category 5"/>
            </a:graphicData>
          </a:graphic>
        </xdr:graphicFrame>
      </mc:Choice>
      <mc:Fallback xmlns="">
        <xdr:sp macro="" textlink="">
          <xdr:nvSpPr>
            <xdr:cNvPr id="0" name=""/>
            <xdr:cNvSpPr>
              <a:spLocks noTextEdit="1"/>
            </xdr:cNvSpPr>
          </xdr:nvSpPr>
          <xdr:spPr>
            <a:xfrm>
              <a:off x="14277733" y="4133859"/>
              <a:ext cx="1842786" cy="1139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776612</xdr:colOff>
      <xdr:row>55</xdr:row>
      <xdr:rowOff>149590</xdr:rowOff>
    </xdr:from>
    <xdr:to>
      <xdr:col>9</xdr:col>
      <xdr:colOff>651971</xdr:colOff>
      <xdr:row>70</xdr:row>
      <xdr:rowOff>100981</xdr:rowOff>
    </xdr:to>
    <xdr:graphicFrame macro="">
      <xdr:nvGraphicFramePr>
        <xdr:cNvPr id="11" name="Chart 10">
          <a:extLst>
            <a:ext uri="{FF2B5EF4-FFF2-40B4-BE49-F238E27FC236}">
              <a16:creationId xmlns:a16="http://schemas.microsoft.com/office/drawing/2014/main" id="{61AEF2BC-B041-41CD-825D-CE8C64B1C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135120</xdr:colOff>
      <xdr:row>55</xdr:row>
      <xdr:rowOff>138799</xdr:rowOff>
    </xdr:from>
    <xdr:to>
      <xdr:col>17</xdr:col>
      <xdr:colOff>538739</xdr:colOff>
      <xdr:row>70</xdr:row>
      <xdr:rowOff>90190</xdr:rowOff>
    </xdr:to>
    <xdr:graphicFrame macro="">
      <xdr:nvGraphicFramePr>
        <xdr:cNvPr id="12" name="Chart 11">
          <a:extLst>
            <a:ext uri="{FF2B5EF4-FFF2-40B4-BE49-F238E27FC236}">
              <a16:creationId xmlns:a16="http://schemas.microsoft.com/office/drawing/2014/main" id="{50F6D668-9EE1-4BB0-990B-08DA47E91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512885</xdr:colOff>
      <xdr:row>89</xdr:row>
      <xdr:rowOff>61058</xdr:rowOff>
    </xdr:from>
    <xdr:to>
      <xdr:col>12</xdr:col>
      <xdr:colOff>402982</xdr:colOff>
      <xdr:row>103</xdr:row>
      <xdr:rowOff>168974</xdr:rowOff>
    </xdr:to>
    <xdr:graphicFrame macro="">
      <xdr:nvGraphicFramePr>
        <xdr:cNvPr id="13" name="Chart 12">
          <a:extLst>
            <a:ext uri="{FF2B5EF4-FFF2-40B4-BE49-F238E27FC236}">
              <a16:creationId xmlns:a16="http://schemas.microsoft.com/office/drawing/2014/main" id="{32C4A25F-9902-5F57-92CF-38CF90A18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488461</xdr:colOff>
      <xdr:row>73</xdr:row>
      <xdr:rowOff>48846</xdr:rowOff>
    </xdr:from>
    <xdr:to>
      <xdr:col>12</xdr:col>
      <xdr:colOff>402981</xdr:colOff>
      <xdr:row>87</xdr:row>
      <xdr:rowOff>87288</xdr:rowOff>
    </xdr:to>
    <xdr:graphicFrame macro="">
      <xdr:nvGraphicFramePr>
        <xdr:cNvPr id="15" name="Chart 14">
          <a:extLst>
            <a:ext uri="{FF2B5EF4-FFF2-40B4-BE49-F238E27FC236}">
              <a16:creationId xmlns:a16="http://schemas.microsoft.com/office/drawing/2014/main" id="{5C51B2CD-D039-8281-46FD-33D1C38EF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238125</xdr:colOff>
      <xdr:row>3</xdr:row>
      <xdr:rowOff>0</xdr:rowOff>
    </xdr:from>
    <xdr:to>
      <xdr:col>8</xdr:col>
      <xdr:colOff>542925</xdr:colOff>
      <xdr:row>17</xdr:row>
      <xdr:rowOff>76200</xdr:rowOff>
    </xdr:to>
    <xdr:graphicFrame macro="">
      <xdr:nvGraphicFramePr>
        <xdr:cNvPr id="2" name="Chart 1">
          <a:extLst>
            <a:ext uri="{FF2B5EF4-FFF2-40B4-BE49-F238E27FC236}">
              <a16:creationId xmlns:a16="http://schemas.microsoft.com/office/drawing/2014/main" id="{6410E0F6-6039-440F-A424-56314223D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238125</xdr:colOff>
      <xdr:row>2</xdr:row>
      <xdr:rowOff>180975</xdr:rowOff>
    </xdr:from>
    <xdr:to>
      <xdr:col>18</xdr:col>
      <xdr:colOff>542925</xdr:colOff>
      <xdr:row>17</xdr:row>
      <xdr:rowOff>66675</xdr:rowOff>
    </xdr:to>
    <xdr:graphicFrame macro="">
      <xdr:nvGraphicFramePr>
        <xdr:cNvPr id="3" name="Chart 2">
          <a:extLst>
            <a:ext uri="{FF2B5EF4-FFF2-40B4-BE49-F238E27FC236}">
              <a16:creationId xmlns:a16="http://schemas.microsoft.com/office/drawing/2014/main" id="{9E9D3090-4AEF-4235-B207-797235BA3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1303564</xdr:colOff>
      <xdr:row>14</xdr:row>
      <xdr:rowOff>103414</xdr:rowOff>
    </xdr:from>
    <xdr:to>
      <xdr:col>2</xdr:col>
      <xdr:colOff>1104899</xdr:colOff>
      <xdr:row>26</xdr:row>
      <xdr:rowOff>178253</xdr:rowOff>
    </xdr:to>
    <mc:AlternateContent xmlns:mc="http://schemas.openxmlformats.org/markup-compatibility/2006" xmlns:a14="http://schemas.microsoft.com/office/drawing/2010/main">
      <mc:Choice Requires="a14">
        <xdr:graphicFrame macro="">
          <xdr:nvGraphicFramePr>
            <xdr:cNvPr id="2" name="Rate Category 1">
              <a:extLst>
                <a:ext uri="{FF2B5EF4-FFF2-40B4-BE49-F238E27FC236}">
                  <a16:creationId xmlns:a16="http://schemas.microsoft.com/office/drawing/2014/main" id="{6D703726-90B0-0C6B-7A28-FD05809ABFAE}"/>
                </a:ext>
              </a:extLst>
            </xdr:cNvPr>
            <xdr:cNvGraphicFramePr/>
          </xdr:nvGraphicFramePr>
          <xdr:xfrm>
            <a:off x="0" y="0"/>
            <a:ext cx="0" cy="0"/>
          </xdr:xfrm>
          <a:graphic>
            <a:graphicData uri="http://schemas.microsoft.com/office/drawing/2010/slicer">
              <sle:slicer xmlns:sle="http://schemas.microsoft.com/office/drawing/2010/slicer" name="Rate Category 1"/>
            </a:graphicData>
          </a:graphic>
        </xdr:graphicFrame>
      </mc:Choice>
      <mc:Fallback xmlns="">
        <xdr:sp macro="" textlink="">
          <xdr:nvSpPr>
            <xdr:cNvPr id="0" name=""/>
            <xdr:cNvSpPr>
              <a:spLocks noTextEdit="1"/>
            </xdr:cNvSpPr>
          </xdr:nvSpPr>
          <xdr:spPr>
            <a:xfrm>
              <a:off x="6134100" y="27704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10886</xdr:colOff>
      <xdr:row>14</xdr:row>
      <xdr:rowOff>157843</xdr:rowOff>
    </xdr:from>
    <xdr:to>
      <xdr:col>4</xdr:col>
      <xdr:colOff>193222</xdr:colOff>
      <xdr:row>27</xdr:row>
      <xdr:rowOff>28575</xdr:rowOff>
    </xdr:to>
    <mc:AlternateContent xmlns:mc="http://schemas.openxmlformats.org/markup-compatibility/2006" xmlns:a14="http://schemas.microsoft.com/office/drawing/2010/main">
      <mc:Choice Requires="a14">
        <xdr:graphicFrame macro="">
          <xdr:nvGraphicFramePr>
            <xdr:cNvPr id="3" name="Discount Category 1">
              <a:extLst>
                <a:ext uri="{FF2B5EF4-FFF2-40B4-BE49-F238E27FC236}">
                  <a16:creationId xmlns:a16="http://schemas.microsoft.com/office/drawing/2014/main" id="{70FFD2D8-72BD-CDAB-82A8-79F8CEAE3E5D}"/>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8093529" y="282484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664028</xdr:colOff>
      <xdr:row>14</xdr:row>
      <xdr:rowOff>185057</xdr:rowOff>
    </xdr:from>
    <xdr:to>
      <xdr:col>5</xdr:col>
      <xdr:colOff>1145720</xdr:colOff>
      <xdr:row>27</xdr:row>
      <xdr:rowOff>55789</xdr:rowOff>
    </xdr:to>
    <mc:AlternateContent xmlns:mc="http://schemas.openxmlformats.org/markup-compatibility/2006" xmlns:a14="http://schemas.microsoft.com/office/drawing/2010/main">
      <mc:Choice Requires="a14">
        <xdr:graphicFrame macro="">
          <xdr:nvGraphicFramePr>
            <xdr:cNvPr id="4" name="Cleanreviews">
              <a:extLst>
                <a:ext uri="{FF2B5EF4-FFF2-40B4-BE49-F238E27FC236}">
                  <a16:creationId xmlns:a16="http://schemas.microsoft.com/office/drawing/2014/main" id="{99367E09-FDDE-D6FC-1B2B-200330A665BC}"/>
                </a:ext>
              </a:extLst>
            </xdr:cNvPr>
            <xdr:cNvGraphicFramePr/>
          </xdr:nvGraphicFramePr>
          <xdr:xfrm>
            <a:off x="0" y="0"/>
            <a:ext cx="0" cy="0"/>
          </xdr:xfrm>
          <a:graphic>
            <a:graphicData uri="http://schemas.microsoft.com/office/drawing/2010/slicer">
              <sle:slicer xmlns:sle="http://schemas.microsoft.com/office/drawing/2010/slicer" name="Cleanreviews"/>
            </a:graphicData>
          </a:graphic>
        </xdr:graphicFrame>
      </mc:Choice>
      <mc:Fallback xmlns="">
        <xdr:sp macro="" textlink="">
          <xdr:nvSpPr>
            <xdr:cNvPr id="0" name=""/>
            <xdr:cNvSpPr>
              <a:spLocks noTextEdit="1"/>
            </xdr:cNvSpPr>
          </xdr:nvSpPr>
          <xdr:spPr>
            <a:xfrm>
              <a:off x="10189028" y="285205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568778</xdr:colOff>
      <xdr:row>22</xdr:row>
      <xdr:rowOff>117022</xdr:rowOff>
    </xdr:from>
    <xdr:to>
      <xdr:col>3</xdr:col>
      <xdr:colOff>370114</xdr:colOff>
      <xdr:row>34</xdr:row>
      <xdr:rowOff>191861</xdr:rowOff>
    </xdr:to>
    <mc:AlternateContent xmlns:mc="http://schemas.openxmlformats.org/markup-compatibility/2006" xmlns:a14="http://schemas.microsoft.com/office/drawing/2010/main">
      <mc:Choice Requires="a14">
        <xdr:graphicFrame macro="">
          <xdr:nvGraphicFramePr>
            <xdr:cNvPr id="3" name="Rate Category 2">
              <a:extLst>
                <a:ext uri="{FF2B5EF4-FFF2-40B4-BE49-F238E27FC236}">
                  <a16:creationId xmlns:a16="http://schemas.microsoft.com/office/drawing/2014/main" id="{61AE2312-D773-DDB0-CFBD-7A82E815D39C}"/>
                </a:ext>
              </a:extLst>
            </xdr:cNvPr>
            <xdr:cNvGraphicFramePr/>
          </xdr:nvGraphicFramePr>
          <xdr:xfrm>
            <a:off x="0" y="0"/>
            <a:ext cx="0" cy="0"/>
          </xdr:xfrm>
          <a:graphic>
            <a:graphicData uri="http://schemas.microsoft.com/office/drawing/2010/slicer">
              <sle:slicer xmlns:sle="http://schemas.microsoft.com/office/drawing/2010/slicer" name="Rate Category 2"/>
            </a:graphicData>
          </a:graphic>
        </xdr:graphicFrame>
      </mc:Choice>
      <mc:Fallback xmlns="">
        <xdr:sp macro="" textlink="">
          <xdr:nvSpPr>
            <xdr:cNvPr id="0" name=""/>
            <xdr:cNvSpPr>
              <a:spLocks noTextEdit="1"/>
            </xdr:cNvSpPr>
          </xdr:nvSpPr>
          <xdr:spPr>
            <a:xfrm>
              <a:off x="8188778" y="430802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718457</xdr:colOff>
      <xdr:row>22</xdr:row>
      <xdr:rowOff>117022</xdr:rowOff>
    </xdr:from>
    <xdr:to>
      <xdr:col>4</xdr:col>
      <xdr:colOff>873579</xdr:colOff>
      <xdr:row>34</xdr:row>
      <xdr:rowOff>191861</xdr:rowOff>
    </xdr:to>
    <mc:AlternateContent xmlns:mc="http://schemas.openxmlformats.org/markup-compatibility/2006" xmlns:a14="http://schemas.microsoft.com/office/drawing/2010/main">
      <mc:Choice Requires="a14">
        <xdr:graphicFrame macro="">
          <xdr:nvGraphicFramePr>
            <xdr:cNvPr id="4" name="Discount Category 2">
              <a:extLst>
                <a:ext uri="{FF2B5EF4-FFF2-40B4-BE49-F238E27FC236}">
                  <a16:creationId xmlns:a16="http://schemas.microsoft.com/office/drawing/2014/main" id="{21848BE1-6BAA-B267-37AB-E348B29383DD}"/>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10120993" y="430802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194582</xdr:colOff>
      <xdr:row>1</xdr:row>
      <xdr:rowOff>14967</xdr:rowOff>
    </xdr:from>
    <xdr:to>
      <xdr:col>9</xdr:col>
      <xdr:colOff>662667</xdr:colOff>
      <xdr:row>13</xdr:row>
      <xdr:rowOff>89806</xdr:rowOff>
    </xdr:to>
    <mc:AlternateContent xmlns:mc="http://schemas.openxmlformats.org/markup-compatibility/2006" xmlns:a14="http://schemas.microsoft.com/office/drawing/2010/main">
      <mc:Choice Requires="a14">
        <xdr:graphicFrame macro="">
          <xdr:nvGraphicFramePr>
            <xdr:cNvPr id="2" name="Rate Category">
              <a:extLst>
                <a:ext uri="{FF2B5EF4-FFF2-40B4-BE49-F238E27FC236}">
                  <a16:creationId xmlns:a16="http://schemas.microsoft.com/office/drawing/2014/main" id="{3B0F3DCD-4A1E-20C2-F181-872952F1CC29}"/>
                </a:ext>
              </a:extLst>
            </xdr:cNvPr>
            <xdr:cNvGraphicFramePr/>
          </xdr:nvGraphicFramePr>
          <xdr:xfrm>
            <a:off x="0" y="0"/>
            <a:ext cx="0" cy="0"/>
          </xdr:xfrm>
          <a:graphic>
            <a:graphicData uri="http://schemas.microsoft.com/office/drawing/2010/slicer">
              <sle:slicer xmlns:sle="http://schemas.microsoft.com/office/drawing/2010/slicer" name="Rate Category"/>
            </a:graphicData>
          </a:graphic>
        </xdr:graphicFrame>
      </mc:Choice>
      <mc:Fallback xmlns="">
        <xdr:sp macro="" textlink="">
          <xdr:nvSpPr>
            <xdr:cNvPr id="0" name=""/>
            <xdr:cNvSpPr>
              <a:spLocks noTextEdit="1"/>
            </xdr:cNvSpPr>
          </xdr:nvSpPr>
          <xdr:spPr>
            <a:xfrm>
              <a:off x="14060261" y="39596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262618</xdr:colOff>
      <xdr:row>0</xdr:row>
      <xdr:rowOff>0</xdr:rowOff>
    </xdr:from>
    <xdr:to>
      <xdr:col>13</xdr:col>
      <xdr:colOff>50347</xdr:colOff>
      <xdr:row>12</xdr:row>
      <xdr:rowOff>74839</xdr:rowOff>
    </xdr:to>
    <mc:AlternateContent xmlns:mc="http://schemas.openxmlformats.org/markup-compatibility/2006" xmlns:a14="http://schemas.microsoft.com/office/drawing/2010/main">
      <mc:Choice Requires="a14">
        <xdr:graphicFrame macro="">
          <xdr:nvGraphicFramePr>
            <xdr:cNvPr id="3" name="Discount Category">
              <a:extLst>
                <a:ext uri="{FF2B5EF4-FFF2-40B4-BE49-F238E27FC236}">
                  <a16:creationId xmlns:a16="http://schemas.microsoft.com/office/drawing/2014/main" id="{EDFB6C4E-018B-7D89-9727-9A5714BD9FA7}"/>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5965261" y="17825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jayden" refreshedDate="46186.726508101849" createdVersion="8" refreshedVersion="8" minRefreshableVersion="3" recordCount="116" xr:uid="{9F7C9C1C-F162-40E8-81ED-3C88BC8D3210}">
  <cacheSource type="worksheet">
    <worksheetSource ref="B1:M117" sheet="Main"/>
  </cacheSource>
  <cacheFields count="12">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 Roll Paper Holder Towel Bars Hook"/>
        <s v="LED Romantic Spaceship Starry Sky Projector 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 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 1.5L, 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Blank="1" count="105">
        <s v="KSh 950"/>
        <s v="KSh 527"/>
        <s v="KSh 2,199"/>
        <s v="KSh 1,580"/>
        <s v="KSh 1,740"/>
        <s v="KSh 2,999"/>
        <s v="KSh 2,319"/>
        <s v="KSh 988"/>
        <s v="KSh 1,274"/>
        <s v="KSh 1,600"/>
        <s v="KSh 799"/>
        <s v="KSh 990"/>
        <s v="KSh 552"/>
        <s v="KSh 501"/>
        <s v="KSh 1,680"/>
        <s v="KSh 332"/>
        <s v="KSh 195"/>
        <s v="KSh 2,025"/>
        <s v="KSh 998"/>
        <s v="KSh 38"/>
        <s v="KSh 1,860"/>
        <s v="KSh 880"/>
        <s v="KSh 1,650"/>
        <s v="KSh 2,048"/>
        <s v="KSh 420"/>
        <s v="KSh 2,880"/>
        <s v="KSh 1,350"/>
        <s v="KSh 1,758"/>
        <s v="KSh 2,200"/>
        <s v="KSh 185"/>
        <s v="KSh 980"/>
        <s v="KSh 1,820"/>
        <s v="KSh 1,940"/>
        <s v="KSh 1,980"/>
        <s v="KSh 1,620"/>
        <s v="KSh 171"/>
        <s v="KSh 389"/>
        <s v="KSh 1,620 - KSh 1,980"/>
        <s v="KSh 2,750"/>
        <s v="KSh 475"/>
        <s v="KSh 238"/>
        <s v="KSh 610"/>
        <s v="KSh 2,132"/>
        <s v="KSh 999"/>
        <s v="KSh 1,190"/>
        <s v="KSh 671"/>
        <s v="KSh 1,200"/>
        <s v="KSh 199"/>
        <s v="KSh 299"/>
        <s v="KSh 1,660"/>
        <s v="KSh 1,459"/>
        <s v="KSh 499"/>
        <s v="KSh 699"/>
        <s v="KSh 2,799"/>
        <s v="KSh 399"/>
        <s v="KSh 2,170"/>
        <s v="KSh 458"/>
        <s v="KSh 2,115"/>
        <s v="KSh 445"/>
        <s v="KSh 325"/>
        <s v="KSh 1,220"/>
        <s v="KSh 1,000"/>
        <s v="KSh 3,750"/>
        <s v="KSh 382"/>
        <s v="KSh 2,300"/>
        <s v="KSh 345"/>
        <s v="KSh 509"/>
        <s v="KSh 968"/>
        <s v="KSh 1,570"/>
        <s v="KSh 790"/>
        <s v="KSh 690"/>
        <s v="KSh 1,732"/>
        <s v="KSh 230"/>
        <s v="KSh 1,189"/>
        <s v="KSh 979"/>
        <s v="KSh 1,460"/>
        <s v="KSh 1,666"/>
        <s v="KSh 330"/>
        <s v="KSh 176"/>
        <s v="KSh 1,466"/>
        <s v="KSh 274"/>
        <s v="KSh 657"/>
        <s v="KSh 1,468"/>
        <s v="KSh 630"/>
        <s v="KSh 850"/>
        <s v="KSh 1,300"/>
        <s v="KSh 105"/>
        <s v="KSh 899"/>
        <s v="KSh 1,526"/>
        <s v="KSh 1,462"/>
        <s v="KSh 248"/>
        <s v="KSh 3,546"/>
        <s v="KSh 525"/>
        <s v="KSh 1,080"/>
        <s v="KSh 3,640"/>
        <s v="KSh 1,420"/>
        <s v="KSh 1,875"/>
        <s v="KSh 198"/>
        <s v="KSh 1,150"/>
        <s v="KSh 1,658"/>
        <s v="KSh 1,768"/>
        <s v="KSh 450"/>
        <s v="KSh 169"/>
        <m/>
        <e v="#DIV/0!"/>
      </sharedItems>
    </cacheField>
    <cacheField name="old price" numFmtId="0">
      <sharedItems containsBlank="1" count="95">
        <s v="KSh 1,525"/>
        <s v="KSh 999"/>
        <s v="KSh 2,923"/>
        <s v="KSh 2,499"/>
        <s v="KSh 2,356"/>
        <s v="KSh 3,290"/>
        <s v="KSh 3,032"/>
        <s v="KSh 1,580"/>
        <s v="KSh 2,800"/>
        <s v="KSh 2,929"/>
        <s v="KSh 1,500"/>
        <s v="KSh 1,035"/>
        <s v="KSh 860"/>
        <s v="KSh 684"/>
        <s v="KSh 360"/>
        <s v="KSh 3,971"/>
        <s v="KSh 3,699"/>
        <s v="KSh 1,966"/>
        <s v="KSh 80"/>
        <s v="KSh 3,220"/>
        <s v="KSh 1,350"/>
        <s v="KSh 2,150"/>
        <s v="KSh 4,500"/>
        <s v="KSh 647"/>
        <s v="KSh 3,520"/>
        <s v="KSh 1,990"/>
        <s v="KSh 4,080"/>
        <s v="KSh 382"/>
        <s v="KSh 1,490"/>
        <s v="KSh 3,490"/>
        <s v="KSh 2,650"/>
        <s v="KSh 2,699"/>
        <s v="KSh 2,690"/>
        <s v="KSh 656"/>
        <s v="KSh 2,200 - KSh 3,200"/>
        <s v="KSh 4,471"/>
        <s v="KSh 931"/>
        <s v="KSh 476"/>
        <s v="KSh 1,060"/>
        <s v="KSh 2,169"/>
        <s v="KSh 2,000"/>
        <s v="KSh 1,785"/>
        <s v="KSh 1,316"/>
        <s v="KSh 1,950"/>
        <s v="KSh 504"/>
        <s v="KSh 600"/>
        <s v="KSh 1,699"/>
        <s v="KSh 384"/>
        <s v="KSh 1,499"/>
        <s v="KSh 1,343"/>
        <s v="KSh 900"/>
        <s v="KSh 1,567"/>
        <s v="KSh 3,810"/>
        <s v="KSh 896"/>
        <s v="KSh 2,500"/>
        <s v="KSh 986"/>
        <s v="KSh 4,700"/>
        <s v="KSh 873"/>
        <s v="KSh 680"/>
        <s v="KSh 1,555"/>
        <s v="KSh 1,814"/>
        <s v="KSh 6,143"/>
        <s v="KSh 700"/>
        <s v="KSh 3,240"/>
        <s v="KSh 602"/>
        <s v="KSh 899"/>
        <s v="KSh 2,988"/>
        <s v="KSh 1,485"/>
        <s v="KSh 1,200"/>
        <s v="KSh 1,799"/>
        <s v="KSh 450"/>
        <s v="KSh 2,199"/>
        <s v="KSh 1,920"/>
        <s v="KSh 2,290"/>
        <s v="KSh 345"/>
        <s v="KSh 537"/>
        <s v="KSh 1,288"/>
        <s v="KSh 1,100"/>
        <s v="KSh 1,700"/>
        <s v="KSh 200"/>
        <s v="KSh 2,400"/>
        <s v="KSh 1,660"/>
        <s v="KSh 486"/>
        <s v="KSh 1,029"/>
        <s v="KSh 1,874"/>
        <s v="KSh 4,588"/>
        <s v="KSh 2,420"/>
        <s v="KSh 1,899"/>
        <s v="KSh 260"/>
        <s v="KSh 1,737"/>
        <s v="KSh 1,810"/>
        <s v="KSh 553"/>
        <s v="KSh 320"/>
        <m/>
        <e v="#DIV/0!"/>
      </sharedItems>
    </cacheField>
    <cacheField name="Discount" numFmtId="0">
      <sharedItems containsString="0" containsBlank="1" containsNumber="1" minValue="0.01" maxValue="0.64"/>
    </cacheField>
    <cacheField name="Ratings"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Review" numFmtId="0">
      <sharedItems containsBlank="1" containsMixedTypes="1" containsNumber="1" containsInteger="1" minValue="-69" maxValue="-1" count="25">
        <n v="-2"/>
        <n v="-14"/>
        <n v="-24"/>
        <n v="-7"/>
        <n v="-5"/>
        <n v="-15"/>
        <n v="-55"/>
        <n v="-12"/>
        <n v="-39"/>
        <n v="-6"/>
        <n v="-9"/>
        <n v="-3"/>
        <n v="-44"/>
        <n v="-13"/>
        <m/>
        <n v="-49"/>
        <n v="-20"/>
        <n v="-32"/>
        <n v="-1"/>
        <n v="-36"/>
        <n v="-10"/>
        <n v="-69"/>
        <n v="-16"/>
        <n v="-17"/>
        <s v="Average:"/>
      </sharedItems>
    </cacheField>
    <cacheField name="Current prices" numFmtId="0">
      <sharedItems containsString="0" containsBlank="1" containsNumber="1" minValue="38" maxValue="3750"/>
    </cacheField>
    <cacheField name="Old prices" numFmtId="0">
      <sharedItems containsString="0" containsBlank="1" containsNumber="1" minValue="80" maxValue="6143"/>
    </cacheField>
    <cacheField name="Discounts" numFmtId="0">
      <sharedItems containsString="0" containsBlank="1" containsNumber="1" minValue="24" maxValue="2585"/>
    </cacheField>
    <cacheField name="Rating" numFmtId="0">
      <sharedItems containsString="0" containsBlank="1" containsNumber="1" minValue="0" maxValue="5"/>
    </cacheField>
    <cacheField name="Rate Category" numFmtId="0">
      <sharedItems containsBlank="1" count="4">
        <s v="Excellent"/>
        <s v="Average"/>
        <s v="Poor"/>
        <m/>
      </sharedItems>
    </cacheField>
    <cacheField name="Discount Category" numFmtId="0">
      <sharedItems containsBlank="1" count="4">
        <s v="Medium Discount"/>
        <s v="High Discount"/>
        <s v="Low Discount"/>
        <m/>
      </sharedItems>
    </cacheField>
  </cacheFields>
  <extLst>
    <ext xmlns:x14="http://schemas.microsoft.com/office/spreadsheetml/2009/9/main" uri="{725AE2AE-9491-48be-B2B4-4EB974FC3084}">
      <x14:pivotCacheDefinition pivotCacheId="1447806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jayden" refreshedDate="46186.779620486108" createdVersion="8" refreshedVersion="8" minRefreshableVersion="3" recordCount="112" xr:uid="{25B9E662-6313-4438-807D-3D93DA359ADC}">
  <cacheSource type="worksheet">
    <worksheetSource ref="B1:M113" sheet="Main"/>
  </cacheSource>
  <cacheFields count="1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 Roll Paper Holder Towel Bars Hook"/>
        <s v="LED Romantic Spaceship Starry Sky Projector 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 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 1.5L, 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old price" numFmtId="0">
      <sharedItems/>
    </cacheField>
    <cacheField name="Discount" numFmtId="9">
      <sharedItems containsSemiMixedTypes="0" containsString="0" containsNumber="1" minValue="0.01" maxValue="0.64"/>
    </cacheField>
    <cacheField name="Ratings"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Review" numFmtId="0">
      <sharedItems containsString="0" containsBlank="1" containsNumber="1" containsInteger="1" minValue="-69" maxValue="-1"/>
    </cacheField>
    <cacheField name="Current prices" numFmtId="0">
      <sharedItems containsSemiMixedTypes="0" containsString="0" containsNumber="1" containsInteger="1" minValue="38" maxValue="3750"/>
    </cacheField>
    <cacheField name="Old prices" numFmtId="0">
      <sharedItems containsSemiMixedTypes="0" containsString="0" containsNumber="1" containsInteger="1" minValue="80" maxValue="6143"/>
    </cacheField>
    <cacheField name="Discounts" numFmtId="0">
      <sharedItems containsSemiMixedTypes="0" containsString="0" containsNumber="1" containsInteger="1" minValue="24" maxValue="2585" count="103">
        <n v="575"/>
        <n v="472"/>
        <n v="724"/>
        <n v="919"/>
        <n v="616"/>
        <n v="291"/>
        <n v="713"/>
        <n v="592"/>
        <n v="1526"/>
        <n v="1329"/>
        <n v="200"/>
        <n v="510"/>
        <n v="483"/>
        <n v="359"/>
        <n v="819"/>
        <n v="352"/>
        <n v="165"/>
        <n v="1946"/>
        <n v="700"/>
        <n v="968"/>
        <n v="42"/>
        <n v="1360"/>
        <n v="470"/>
        <n v="500"/>
        <n v="2452"/>
        <n v="227"/>
        <n v="640"/>
        <n v="741"/>
        <n v="1880"/>
        <n v="197"/>
        <n v="1670"/>
        <n v="710"/>
        <n v="719"/>
        <n v="1070"/>
        <n v="189"/>
        <n v="267"/>
        <n v="58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sharedItems>
    </cacheField>
    <cacheField name="Rating" numFmtId="0">
      <sharedItems containsSemiMixedTypes="0" containsString="0" containsNumber="1" minValue="0" maxValue="5"/>
    </cacheField>
    <cacheField name="Rate Category" numFmtId="0">
      <sharedItems count="3">
        <s v="Excellent"/>
        <s v="Average"/>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3634828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jayden" refreshedDate="46186.788079976854" createdVersion="8" refreshedVersion="8" minRefreshableVersion="3" recordCount="112" xr:uid="{DDBAA4E8-0CE3-4B03-B19F-9FD4B3831441}">
  <cacheSource type="worksheet">
    <worksheetSource ref="B1:N113" sheet="Main"/>
  </cacheSource>
  <cacheFields count="13">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 Roll Paper Holder Towel Bars Hook"/>
        <s v="LED Romantic Spaceship Starry Sky Projector 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 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 1.5L, 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acheField>
    <cacheField name="old price" numFmtId="0">
      <sharedItems/>
    </cacheField>
    <cacheField name="Discount" numFmtId="9">
      <sharedItems containsSemiMixedTypes="0" containsString="0" containsNumber="1" minValue="0.01" maxValue="0.64"/>
    </cacheField>
    <cacheField name="Ratings"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Review" numFmtId="0">
      <sharedItems containsString="0" containsBlank="1" containsNumber="1" containsInteger="1" minValue="-69" maxValue="-1"/>
    </cacheField>
    <cacheField name="Current prices" numFmtId="0">
      <sharedItems containsSemiMixedTypes="0" containsString="0" containsNumber="1" containsInteger="1" minValue="38" maxValue="3750"/>
    </cacheField>
    <cacheField name="Old prices" numFmtId="0">
      <sharedItems containsSemiMixedTypes="0" containsString="0" containsNumber="1" containsInteger="1" minValue="80" maxValue="6143"/>
    </cacheField>
    <cacheField name="Discounts" numFmtId="0">
      <sharedItems containsSemiMixedTypes="0" containsString="0" containsNumber="1" containsInteger="1" minValue="24" maxValue="2585"/>
    </cacheField>
    <cacheField name="Rating" numFmtId="0">
      <sharedItems containsSemiMixedTypes="0" containsString="0" containsNumber="1" minValue="0" maxValue="5"/>
    </cacheField>
    <cacheField name="Rate Category" numFmtId="0">
      <sharedItems count="3">
        <s v="Excellent"/>
        <s v="Average"/>
        <s v="Poor"/>
      </sharedItems>
    </cacheField>
    <cacheField name="Discount Category" numFmtId="0">
      <sharedItems count="3">
        <s v="Medium Discount"/>
        <s v="High Discount"/>
        <s v="Low Discount"/>
      </sharedItems>
    </cacheField>
    <cacheField name="Cleanreviews"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s>
  <extLst>
    <ext xmlns:x14="http://schemas.microsoft.com/office/spreadsheetml/2009/9/main" uri="{725AE2AE-9491-48be-B2B4-4EB974FC3084}">
      <x14:pivotCacheDefinition pivotCacheId="1921809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x v="0"/>
    <x v="0"/>
    <n v="0.38"/>
    <x v="0"/>
    <x v="0"/>
    <n v="950"/>
    <n v="1525"/>
    <n v="575"/>
    <n v="4.5"/>
    <x v="0"/>
    <x v="0"/>
  </r>
  <r>
    <x v="1"/>
    <x v="1"/>
    <x v="1"/>
    <n v="0.47"/>
    <x v="1"/>
    <x v="1"/>
    <n v="527"/>
    <n v="999"/>
    <n v="472"/>
    <n v="4.0999999999999996"/>
    <x v="1"/>
    <x v="1"/>
  </r>
  <r>
    <x v="2"/>
    <x v="2"/>
    <x v="2"/>
    <n v="0.25"/>
    <x v="2"/>
    <x v="2"/>
    <n v="2199"/>
    <n v="2923"/>
    <n v="724"/>
    <n v="4.5999999999999996"/>
    <x v="0"/>
    <x v="0"/>
  </r>
  <r>
    <x v="3"/>
    <x v="3"/>
    <x v="3"/>
    <n v="0.37"/>
    <x v="3"/>
    <x v="3"/>
    <n v="1580"/>
    <n v="2499"/>
    <n v="919"/>
    <n v="4.7"/>
    <x v="0"/>
    <x v="0"/>
  </r>
  <r>
    <x v="4"/>
    <x v="4"/>
    <x v="4"/>
    <n v="0.26"/>
    <x v="4"/>
    <x v="4"/>
    <n v="1740"/>
    <n v="2356"/>
    <n v="616"/>
    <n v="4.8"/>
    <x v="0"/>
    <x v="0"/>
  </r>
  <r>
    <x v="5"/>
    <x v="5"/>
    <x v="5"/>
    <n v="0.09"/>
    <x v="5"/>
    <x v="5"/>
    <n v="2999"/>
    <n v="3290"/>
    <n v="291"/>
    <n v="4"/>
    <x v="1"/>
    <x v="2"/>
  </r>
  <r>
    <x v="6"/>
    <x v="6"/>
    <x v="6"/>
    <n v="0.24"/>
    <x v="2"/>
    <x v="6"/>
    <n v="2319"/>
    <n v="3032"/>
    <n v="713"/>
    <n v="4.5999999999999996"/>
    <x v="0"/>
    <x v="0"/>
  </r>
  <r>
    <x v="7"/>
    <x v="7"/>
    <x v="7"/>
    <n v="0.37"/>
    <x v="5"/>
    <x v="0"/>
    <n v="988"/>
    <n v="1580"/>
    <n v="592"/>
    <n v="4"/>
    <x v="1"/>
    <x v="0"/>
  </r>
  <r>
    <x v="8"/>
    <x v="8"/>
    <x v="8"/>
    <n v="0.55000000000000004"/>
    <x v="4"/>
    <x v="4"/>
    <n v="1274"/>
    <n v="2800"/>
    <n v="1526"/>
    <n v="4.8"/>
    <x v="0"/>
    <x v="1"/>
  </r>
  <r>
    <x v="9"/>
    <x v="9"/>
    <x v="9"/>
    <n v="0.45"/>
    <x v="6"/>
    <x v="4"/>
    <n v="1600"/>
    <n v="2929"/>
    <n v="1329"/>
    <n v="3.8"/>
    <x v="1"/>
    <x v="1"/>
  </r>
  <r>
    <x v="10"/>
    <x v="10"/>
    <x v="1"/>
    <n v="0.2"/>
    <x v="1"/>
    <x v="7"/>
    <n v="799"/>
    <n v="999"/>
    <n v="200"/>
    <n v="4.0999999999999996"/>
    <x v="1"/>
    <x v="0"/>
  </r>
  <r>
    <x v="11"/>
    <x v="11"/>
    <x v="10"/>
    <n v="0.34"/>
    <x v="3"/>
    <x v="8"/>
    <n v="990"/>
    <n v="1500"/>
    <n v="510"/>
    <n v="4.7"/>
    <x v="0"/>
    <x v="0"/>
  </r>
  <r>
    <x v="12"/>
    <x v="12"/>
    <x v="11"/>
    <n v="0.47"/>
    <x v="4"/>
    <x v="7"/>
    <n v="552"/>
    <n v="1035"/>
    <n v="483"/>
    <n v="4.8"/>
    <x v="0"/>
    <x v="1"/>
  </r>
  <r>
    <x v="13"/>
    <x v="13"/>
    <x v="12"/>
    <n v="0.42"/>
    <x v="0"/>
    <x v="9"/>
    <n v="501"/>
    <n v="860"/>
    <n v="359"/>
    <n v="4.5"/>
    <x v="0"/>
    <x v="0"/>
  </r>
  <r>
    <x v="14"/>
    <x v="14"/>
    <x v="3"/>
    <n v="0.33"/>
    <x v="7"/>
    <x v="10"/>
    <n v="1680"/>
    <n v="2499"/>
    <n v="819"/>
    <n v="4.2"/>
    <x v="1"/>
    <x v="0"/>
  </r>
  <r>
    <x v="15"/>
    <x v="15"/>
    <x v="13"/>
    <n v="0.51"/>
    <x v="8"/>
    <x v="0"/>
    <n v="332"/>
    <n v="684"/>
    <n v="352"/>
    <n v="5"/>
    <x v="0"/>
    <x v="1"/>
  </r>
  <r>
    <x v="16"/>
    <x v="16"/>
    <x v="14"/>
    <n v="0.46"/>
    <x v="8"/>
    <x v="0"/>
    <n v="195"/>
    <n v="360"/>
    <n v="165"/>
    <n v="5"/>
    <x v="0"/>
    <x v="1"/>
  </r>
  <r>
    <x v="17"/>
    <x v="17"/>
    <x v="15"/>
    <n v="0.49"/>
    <x v="8"/>
    <x v="11"/>
    <n v="2025"/>
    <n v="3971"/>
    <n v="1946"/>
    <n v="5"/>
    <x v="0"/>
    <x v="1"/>
  </r>
  <r>
    <x v="18"/>
    <x v="5"/>
    <x v="16"/>
    <n v="0.19"/>
    <x v="2"/>
    <x v="4"/>
    <n v="2999"/>
    <n v="3699"/>
    <n v="700"/>
    <n v="4.5999999999999996"/>
    <x v="0"/>
    <x v="2"/>
  </r>
  <r>
    <x v="19"/>
    <x v="18"/>
    <x v="17"/>
    <n v="0.49"/>
    <x v="2"/>
    <x v="12"/>
    <n v="998"/>
    <n v="1966"/>
    <n v="968"/>
    <n v="4.5999999999999996"/>
    <x v="0"/>
    <x v="1"/>
  </r>
  <r>
    <x v="20"/>
    <x v="19"/>
    <x v="18"/>
    <n v="0.53"/>
    <x v="9"/>
    <x v="13"/>
    <n v="38"/>
    <n v="80"/>
    <n v="42"/>
    <n v="3.3"/>
    <x v="1"/>
    <x v="1"/>
  </r>
  <r>
    <x v="21"/>
    <x v="20"/>
    <x v="19"/>
    <n v="0.42"/>
    <x v="10"/>
    <x v="14"/>
    <n v="1860"/>
    <n v="3220"/>
    <n v="1360"/>
    <n v="0"/>
    <x v="2"/>
    <x v="0"/>
  </r>
  <r>
    <x v="22"/>
    <x v="21"/>
    <x v="20"/>
    <n v="0.35"/>
    <x v="5"/>
    <x v="9"/>
    <n v="880"/>
    <n v="1350"/>
    <n v="470"/>
    <n v="4"/>
    <x v="1"/>
    <x v="0"/>
  </r>
  <r>
    <x v="23"/>
    <x v="22"/>
    <x v="21"/>
    <n v="0.23"/>
    <x v="11"/>
    <x v="1"/>
    <n v="1650"/>
    <n v="2150"/>
    <n v="500"/>
    <n v="4.4000000000000004"/>
    <x v="1"/>
    <x v="0"/>
  </r>
  <r>
    <x v="24"/>
    <x v="23"/>
    <x v="22"/>
    <n v="0.54"/>
    <x v="12"/>
    <x v="3"/>
    <n v="2048"/>
    <n v="4500"/>
    <n v="2452"/>
    <n v="4.3"/>
    <x v="1"/>
    <x v="1"/>
  </r>
  <r>
    <x v="25"/>
    <x v="24"/>
    <x v="23"/>
    <n v="0.35"/>
    <x v="2"/>
    <x v="15"/>
    <n v="420"/>
    <n v="647"/>
    <n v="227"/>
    <n v="4.5999999999999996"/>
    <x v="0"/>
    <x v="0"/>
  </r>
  <r>
    <x v="26"/>
    <x v="25"/>
    <x v="24"/>
    <n v="0.18"/>
    <x v="6"/>
    <x v="7"/>
    <n v="2880"/>
    <n v="3520"/>
    <n v="640"/>
    <n v="3.8"/>
    <x v="1"/>
    <x v="2"/>
  </r>
  <r>
    <x v="27"/>
    <x v="26"/>
    <x v="25"/>
    <n v="0.32"/>
    <x v="6"/>
    <x v="13"/>
    <n v="1350"/>
    <n v="1990"/>
    <n v="640"/>
    <n v="3.8"/>
    <x v="1"/>
    <x v="0"/>
  </r>
  <r>
    <x v="28"/>
    <x v="27"/>
    <x v="3"/>
    <n v="0.3"/>
    <x v="1"/>
    <x v="16"/>
    <n v="1758"/>
    <n v="2499"/>
    <n v="741"/>
    <n v="4.0999999999999996"/>
    <x v="1"/>
    <x v="0"/>
  </r>
  <r>
    <x v="29"/>
    <x v="28"/>
    <x v="26"/>
    <n v="0.46"/>
    <x v="10"/>
    <x v="14"/>
    <n v="2200"/>
    <n v="4080"/>
    <n v="1880"/>
    <n v="0"/>
    <x v="2"/>
    <x v="1"/>
  </r>
  <r>
    <x v="30"/>
    <x v="29"/>
    <x v="27"/>
    <n v="0.52"/>
    <x v="12"/>
    <x v="10"/>
    <n v="185"/>
    <n v="382"/>
    <n v="197"/>
    <n v="4.3"/>
    <x v="1"/>
    <x v="1"/>
  </r>
  <r>
    <x v="31"/>
    <x v="30"/>
    <x v="28"/>
    <n v="0.34"/>
    <x v="3"/>
    <x v="7"/>
    <n v="980"/>
    <n v="1490"/>
    <n v="510"/>
    <n v="4.7"/>
    <x v="0"/>
    <x v="0"/>
  </r>
  <r>
    <x v="32"/>
    <x v="31"/>
    <x v="29"/>
    <n v="0.48"/>
    <x v="12"/>
    <x v="10"/>
    <n v="1820"/>
    <n v="3490"/>
    <n v="1670"/>
    <n v="4.3"/>
    <x v="1"/>
    <x v="1"/>
  </r>
  <r>
    <x v="33"/>
    <x v="32"/>
    <x v="30"/>
    <n v="0.27"/>
    <x v="3"/>
    <x v="16"/>
    <n v="1940"/>
    <n v="2650"/>
    <n v="710"/>
    <n v="4.7"/>
    <x v="0"/>
    <x v="0"/>
  </r>
  <r>
    <x v="34"/>
    <x v="33"/>
    <x v="31"/>
    <n v="0.27"/>
    <x v="0"/>
    <x v="17"/>
    <n v="1980"/>
    <n v="2699"/>
    <n v="719"/>
    <n v="4.5"/>
    <x v="0"/>
    <x v="0"/>
  </r>
  <r>
    <x v="35"/>
    <x v="34"/>
    <x v="32"/>
    <n v="0.4"/>
    <x v="8"/>
    <x v="18"/>
    <n v="1620"/>
    <n v="2690"/>
    <n v="1070"/>
    <n v="5"/>
    <x v="0"/>
    <x v="0"/>
  </r>
  <r>
    <x v="36"/>
    <x v="35"/>
    <x v="14"/>
    <n v="0.53"/>
    <x v="8"/>
    <x v="0"/>
    <n v="171"/>
    <n v="360"/>
    <n v="189"/>
    <n v="5"/>
    <x v="0"/>
    <x v="1"/>
  </r>
  <r>
    <x v="37"/>
    <x v="36"/>
    <x v="33"/>
    <n v="0.41"/>
    <x v="12"/>
    <x v="19"/>
    <n v="389"/>
    <n v="656"/>
    <n v="267"/>
    <n v="4.3"/>
    <x v="1"/>
    <x v="0"/>
  </r>
  <r>
    <x v="38"/>
    <x v="37"/>
    <x v="34"/>
    <n v="0.38"/>
    <x v="0"/>
    <x v="0"/>
    <n v="1620"/>
    <n v="2200"/>
    <n v="580"/>
    <n v="4.5"/>
    <x v="0"/>
    <x v="0"/>
  </r>
  <r>
    <x v="39"/>
    <x v="38"/>
    <x v="35"/>
    <n v="0.38"/>
    <x v="10"/>
    <x v="14"/>
    <n v="2750"/>
    <n v="4471"/>
    <n v="1721"/>
    <n v="0"/>
    <x v="2"/>
    <x v="0"/>
  </r>
  <r>
    <x v="40"/>
    <x v="39"/>
    <x v="36"/>
    <n v="0.49"/>
    <x v="10"/>
    <x v="14"/>
    <n v="475"/>
    <n v="931"/>
    <n v="456"/>
    <n v="0"/>
    <x v="2"/>
    <x v="1"/>
  </r>
  <r>
    <x v="41"/>
    <x v="40"/>
    <x v="37"/>
    <n v="0.5"/>
    <x v="10"/>
    <x v="14"/>
    <n v="238"/>
    <n v="476"/>
    <n v="238"/>
    <n v="0"/>
    <x v="2"/>
    <x v="1"/>
  </r>
  <r>
    <x v="42"/>
    <x v="41"/>
    <x v="38"/>
    <n v="0.42"/>
    <x v="10"/>
    <x v="14"/>
    <n v="610"/>
    <n v="1060"/>
    <n v="450"/>
    <n v="0"/>
    <x v="2"/>
    <x v="0"/>
  </r>
  <r>
    <x v="43"/>
    <x v="42"/>
    <x v="39"/>
    <n v="0.02"/>
    <x v="10"/>
    <x v="14"/>
    <n v="2132"/>
    <n v="2169"/>
    <n v="37"/>
    <n v="0"/>
    <x v="2"/>
    <x v="2"/>
  </r>
  <r>
    <x v="44"/>
    <x v="43"/>
    <x v="40"/>
    <n v="0.5"/>
    <x v="10"/>
    <x v="14"/>
    <n v="999"/>
    <n v="2000"/>
    <n v="1001"/>
    <n v="0"/>
    <x v="2"/>
    <x v="1"/>
  </r>
  <r>
    <x v="45"/>
    <x v="44"/>
    <x v="41"/>
    <n v="0.33"/>
    <x v="10"/>
    <x v="14"/>
    <n v="1190"/>
    <n v="1785"/>
    <n v="595"/>
    <n v="0"/>
    <x v="2"/>
    <x v="0"/>
  </r>
  <r>
    <x v="46"/>
    <x v="45"/>
    <x v="42"/>
    <n v="0.49"/>
    <x v="10"/>
    <x v="14"/>
    <n v="671"/>
    <n v="1316"/>
    <n v="645"/>
    <n v="0"/>
    <x v="2"/>
    <x v="1"/>
  </r>
  <r>
    <x v="47"/>
    <x v="46"/>
    <x v="43"/>
    <n v="0.38"/>
    <x v="10"/>
    <x v="14"/>
    <n v="1200"/>
    <n v="1950"/>
    <n v="750"/>
    <n v="0"/>
    <x v="2"/>
    <x v="0"/>
  </r>
  <r>
    <x v="48"/>
    <x v="47"/>
    <x v="44"/>
    <n v="0.61"/>
    <x v="10"/>
    <x v="14"/>
    <n v="199"/>
    <n v="504"/>
    <n v="305"/>
    <n v="0"/>
    <x v="2"/>
    <x v="1"/>
  </r>
  <r>
    <x v="49"/>
    <x v="48"/>
    <x v="45"/>
    <n v="0.5"/>
    <x v="10"/>
    <x v="14"/>
    <n v="299"/>
    <n v="600"/>
    <n v="301"/>
    <n v="0"/>
    <x v="2"/>
    <x v="1"/>
  </r>
  <r>
    <x v="50"/>
    <x v="49"/>
    <x v="46"/>
    <n v="0.02"/>
    <x v="10"/>
    <x v="14"/>
    <n v="1660"/>
    <n v="1699"/>
    <n v="39"/>
    <n v="0"/>
    <x v="2"/>
    <x v="2"/>
  </r>
  <r>
    <x v="51"/>
    <x v="48"/>
    <x v="47"/>
    <n v="0.22"/>
    <x v="10"/>
    <x v="14"/>
    <n v="299"/>
    <n v="384"/>
    <n v="85"/>
    <n v="0"/>
    <x v="2"/>
    <x v="0"/>
  </r>
  <r>
    <x v="52"/>
    <x v="50"/>
    <x v="48"/>
    <n v="0.03"/>
    <x v="10"/>
    <x v="14"/>
    <n v="1459"/>
    <n v="1499"/>
    <n v="40"/>
    <n v="0"/>
    <x v="2"/>
    <x v="2"/>
  </r>
  <r>
    <x v="53"/>
    <x v="10"/>
    <x v="49"/>
    <n v="0.41"/>
    <x v="10"/>
    <x v="14"/>
    <n v="799"/>
    <n v="1343"/>
    <n v="544"/>
    <n v="0"/>
    <x v="2"/>
    <x v="0"/>
  </r>
  <r>
    <x v="54"/>
    <x v="51"/>
    <x v="50"/>
    <n v="0.45"/>
    <x v="10"/>
    <x v="14"/>
    <n v="499"/>
    <n v="900"/>
    <n v="401"/>
    <n v="0"/>
    <x v="2"/>
    <x v="1"/>
  </r>
  <r>
    <x v="55"/>
    <x v="52"/>
    <x v="49"/>
    <n v="0.48"/>
    <x v="10"/>
    <x v="14"/>
    <n v="699"/>
    <n v="1343"/>
    <n v="644"/>
    <n v="0"/>
    <x v="2"/>
    <x v="1"/>
  </r>
  <r>
    <x v="56"/>
    <x v="10"/>
    <x v="51"/>
    <n v="0.49"/>
    <x v="10"/>
    <x v="14"/>
    <n v="799"/>
    <n v="1567"/>
    <n v="768"/>
    <n v="0"/>
    <x v="2"/>
    <x v="1"/>
  </r>
  <r>
    <x v="57"/>
    <x v="53"/>
    <x v="52"/>
    <n v="0.27"/>
    <x v="10"/>
    <x v="14"/>
    <n v="2799"/>
    <n v="3810"/>
    <n v="1011"/>
    <n v="0"/>
    <x v="2"/>
    <x v="0"/>
  </r>
  <r>
    <x v="54"/>
    <x v="54"/>
    <x v="53"/>
    <n v="0.55000000000000004"/>
    <x v="10"/>
    <x v="14"/>
    <n v="399"/>
    <n v="896"/>
    <n v="497"/>
    <n v="0"/>
    <x v="2"/>
    <x v="1"/>
  </r>
  <r>
    <x v="58"/>
    <x v="55"/>
    <x v="54"/>
    <n v="0.13"/>
    <x v="13"/>
    <x v="9"/>
    <n v="2170"/>
    <n v="2500"/>
    <n v="330"/>
    <n v="2.5"/>
    <x v="2"/>
    <x v="2"/>
  </r>
  <r>
    <x v="59"/>
    <x v="56"/>
    <x v="55"/>
    <n v="0.54"/>
    <x v="14"/>
    <x v="20"/>
    <n v="458"/>
    <n v="986"/>
    <n v="528"/>
    <n v="3"/>
    <x v="1"/>
    <x v="1"/>
  </r>
  <r>
    <x v="60"/>
    <x v="57"/>
    <x v="56"/>
    <n v="0.55000000000000004"/>
    <x v="15"/>
    <x v="13"/>
    <n v="2115"/>
    <n v="4700"/>
    <n v="2585"/>
    <n v="2.1"/>
    <x v="2"/>
    <x v="1"/>
  </r>
  <r>
    <x v="61"/>
    <x v="58"/>
    <x v="57"/>
    <n v="0.49"/>
    <x v="16"/>
    <x v="21"/>
    <n v="445"/>
    <n v="873"/>
    <n v="428"/>
    <n v="2.8"/>
    <x v="2"/>
    <x v="1"/>
  </r>
  <r>
    <x v="62"/>
    <x v="59"/>
    <x v="58"/>
    <n v="0.52"/>
    <x v="17"/>
    <x v="5"/>
    <n v="325"/>
    <n v="680"/>
    <n v="355"/>
    <n v="2.7"/>
    <x v="2"/>
    <x v="1"/>
  </r>
  <r>
    <x v="63"/>
    <x v="60"/>
    <x v="59"/>
    <n v="0.22"/>
    <x v="18"/>
    <x v="22"/>
    <n v="1220"/>
    <n v="1555"/>
    <n v="335"/>
    <n v="2.9"/>
    <x v="2"/>
    <x v="0"/>
  </r>
  <r>
    <x v="64"/>
    <x v="11"/>
    <x v="60"/>
    <n v="0.45"/>
    <x v="19"/>
    <x v="9"/>
    <n v="990"/>
    <n v="1814"/>
    <n v="824"/>
    <n v="2.2000000000000002"/>
    <x v="2"/>
    <x v="1"/>
  </r>
  <r>
    <x v="65"/>
    <x v="61"/>
    <x v="40"/>
    <n v="0.5"/>
    <x v="20"/>
    <x v="3"/>
    <n v="1000"/>
    <n v="2000"/>
    <n v="1000"/>
    <n v="2.2999999999999998"/>
    <x v="2"/>
    <x v="1"/>
  </r>
  <r>
    <x v="66"/>
    <x v="62"/>
    <x v="61"/>
    <n v="0.39"/>
    <x v="14"/>
    <x v="4"/>
    <n v="3750"/>
    <n v="6143"/>
    <n v="2393"/>
    <n v="3"/>
    <x v="1"/>
    <x v="0"/>
  </r>
  <r>
    <x v="67"/>
    <x v="63"/>
    <x v="62"/>
    <n v="0.45"/>
    <x v="21"/>
    <x v="23"/>
    <n v="382"/>
    <n v="700"/>
    <n v="318"/>
    <n v="2.6"/>
    <x v="2"/>
    <x v="1"/>
  </r>
  <r>
    <x v="68"/>
    <x v="64"/>
    <x v="63"/>
    <n v="0.28999999999999998"/>
    <x v="14"/>
    <x v="4"/>
    <n v="2300"/>
    <n v="3240"/>
    <n v="940"/>
    <n v="3"/>
    <x v="1"/>
    <x v="0"/>
  </r>
  <r>
    <x v="69"/>
    <x v="65"/>
    <x v="64"/>
    <n v="0.43"/>
    <x v="20"/>
    <x v="9"/>
    <n v="345"/>
    <n v="602"/>
    <n v="257"/>
    <n v="2.2999999999999998"/>
    <x v="2"/>
    <x v="0"/>
  </r>
  <r>
    <x v="70"/>
    <x v="66"/>
    <x v="65"/>
    <n v="0.43"/>
    <x v="14"/>
    <x v="4"/>
    <n v="509"/>
    <n v="899"/>
    <n v="390"/>
    <n v="3"/>
    <x v="1"/>
    <x v="0"/>
  </r>
  <r>
    <x v="71"/>
    <x v="67"/>
    <x v="60"/>
    <n v="0.47"/>
    <x v="19"/>
    <x v="9"/>
    <n v="968"/>
    <n v="1814"/>
    <n v="846"/>
    <n v="2.2000000000000002"/>
    <x v="2"/>
    <x v="1"/>
  </r>
  <r>
    <x v="72"/>
    <x v="68"/>
    <x v="66"/>
    <n v="0.47"/>
    <x v="15"/>
    <x v="3"/>
    <n v="1570"/>
    <n v="2988"/>
    <n v="1418"/>
    <n v="2.1"/>
    <x v="2"/>
    <x v="1"/>
  </r>
  <r>
    <x v="73"/>
    <x v="69"/>
    <x v="67"/>
    <n v="0.47"/>
    <x v="10"/>
    <x v="14"/>
    <n v="790"/>
    <n v="1485"/>
    <n v="695"/>
    <n v="0"/>
    <x v="2"/>
    <x v="1"/>
  </r>
  <r>
    <x v="74"/>
    <x v="70"/>
    <x v="68"/>
    <n v="0.43"/>
    <x v="10"/>
    <x v="14"/>
    <n v="690"/>
    <n v="1200"/>
    <n v="510"/>
    <n v="0"/>
    <x v="2"/>
    <x v="0"/>
  </r>
  <r>
    <x v="75"/>
    <x v="71"/>
    <x v="69"/>
    <n v="0.04"/>
    <x v="10"/>
    <x v="14"/>
    <n v="1732"/>
    <n v="1799"/>
    <n v="67"/>
    <n v="0"/>
    <x v="2"/>
    <x v="2"/>
  </r>
  <r>
    <x v="76"/>
    <x v="72"/>
    <x v="70"/>
    <n v="0.49"/>
    <x v="10"/>
    <x v="14"/>
    <n v="230"/>
    <n v="450"/>
    <n v="220"/>
    <n v="0"/>
    <x v="2"/>
    <x v="1"/>
  </r>
  <r>
    <x v="77"/>
    <x v="73"/>
    <x v="71"/>
    <n v="0.46"/>
    <x v="14"/>
    <x v="18"/>
    <n v="1189"/>
    <n v="2199"/>
    <n v="1010"/>
    <n v="3"/>
    <x v="1"/>
    <x v="1"/>
  </r>
  <r>
    <x v="78"/>
    <x v="74"/>
    <x v="72"/>
    <n v="0.49"/>
    <x v="8"/>
    <x v="18"/>
    <n v="979"/>
    <n v="1920"/>
    <n v="941"/>
    <n v="5"/>
    <x v="0"/>
    <x v="1"/>
  </r>
  <r>
    <x v="79"/>
    <x v="75"/>
    <x v="73"/>
    <n v="0.36"/>
    <x v="10"/>
    <x v="14"/>
    <n v="1460"/>
    <n v="2290"/>
    <n v="830"/>
    <n v="0"/>
    <x v="2"/>
    <x v="0"/>
  </r>
  <r>
    <x v="80"/>
    <x v="76"/>
    <x v="46"/>
    <n v="0.02"/>
    <x v="10"/>
    <x v="14"/>
    <n v="1666"/>
    <n v="1699"/>
    <n v="33"/>
    <n v="0"/>
    <x v="2"/>
    <x v="2"/>
  </r>
  <r>
    <x v="81"/>
    <x v="77"/>
    <x v="23"/>
    <n v="0.49"/>
    <x v="5"/>
    <x v="18"/>
    <n v="330"/>
    <n v="647"/>
    <n v="317"/>
    <n v="4"/>
    <x v="1"/>
    <x v="1"/>
  </r>
  <r>
    <x v="48"/>
    <x v="78"/>
    <x v="74"/>
    <n v="0.49"/>
    <x v="10"/>
    <x v="14"/>
    <n v="176"/>
    <n v="345"/>
    <n v="169"/>
    <n v="0"/>
    <x v="2"/>
    <x v="1"/>
  </r>
  <r>
    <x v="82"/>
    <x v="79"/>
    <x v="46"/>
    <n v="0.14000000000000001"/>
    <x v="10"/>
    <x v="14"/>
    <n v="1466"/>
    <n v="1699"/>
    <n v="233"/>
    <n v="0"/>
    <x v="2"/>
    <x v="2"/>
  </r>
  <r>
    <x v="83"/>
    <x v="80"/>
    <x v="75"/>
    <n v="0.49"/>
    <x v="10"/>
    <x v="14"/>
    <n v="274"/>
    <n v="537"/>
    <n v="263"/>
    <n v="0"/>
    <x v="2"/>
    <x v="1"/>
  </r>
  <r>
    <x v="84"/>
    <x v="10"/>
    <x v="50"/>
    <n v="0.11"/>
    <x v="10"/>
    <x v="14"/>
    <n v="799"/>
    <n v="900"/>
    <n v="101"/>
    <n v="0"/>
    <x v="2"/>
    <x v="2"/>
  </r>
  <r>
    <x v="56"/>
    <x v="81"/>
    <x v="76"/>
    <n v="0.49"/>
    <x v="10"/>
    <x v="14"/>
    <n v="657"/>
    <n v="1288"/>
    <n v="631"/>
    <n v="0"/>
    <x v="2"/>
    <x v="1"/>
  </r>
  <r>
    <x v="85"/>
    <x v="82"/>
    <x v="46"/>
    <n v="0.14000000000000001"/>
    <x v="10"/>
    <x v="14"/>
    <n v="1468"/>
    <n v="1699"/>
    <n v="231"/>
    <n v="0"/>
    <x v="2"/>
    <x v="2"/>
  </r>
  <r>
    <x v="86"/>
    <x v="83"/>
    <x v="77"/>
    <n v="0.43"/>
    <x v="10"/>
    <x v="14"/>
    <n v="630"/>
    <n v="1100"/>
    <n v="470"/>
    <n v="0"/>
    <x v="2"/>
    <x v="0"/>
  </r>
  <r>
    <x v="87"/>
    <x v="84"/>
    <x v="78"/>
    <n v="0.5"/>
    <x v="10"/>
    <x v="14"/>
    <n v="850"/>
    <n v="1700"/>
    <n v="850"/>
    <n v="0"/>
    <x v="2"/>
    <x v="1"/>
  </r>
  <r>
    <x v="88"/>
    <x v="85"/>
    <x v="54"/>
    <n v="0.48"/>
    <x v="10"/>
    <x v="14"/>
    <n v="1300"/>
    <n v="2500"/>
    <n v="1200"/>
    <n v="0"/>
    <x v="2"/>
    <x v="1"/>
  </r>
  <r>
    <x v="89"/>
    <x v="86"/>
    <x v="79"/>
    <n v="0.48"/>
    <x v="10"/>
    <x v="14"/>
    <n v="105"/>
    <n v="200"/>
    <n v="95"/>
    <n v="0"/>
    <x v="2"/>
    <x v="1"/>
  </r>
  <r>
    <x v="90"/>
    <x v="87"/>
    <x v="46"/>
    <n v="0.47"/>
    <x v="10"/>
    <x v="14"/>
    <n v="899"/>
    <n v="1699"/>
    <n v="800"/>
    <n v="0"/>
    <x v="2"/>
    <x v="1"/>
  </r>
  <r>
    <x v="91"/>
    <x v="46"/>
    <x v="80"/>
    <n v="0.5"/>
    <x v="10"/>
    <x v="14"/>
    <n v="1200"/>
    <n v="2400"/>
    <n v="1200"/>
    <n v="0"/>
    <x v="2"/>
    <x v="1"/>
  </r>
  <r>
    <x v="92"/>
    <x v="88"/>
    <x v="81"/>
    <n v="0.08"/>
    <x v="10"/>
    <x v="14"/>
    <n v="1526"/>
    <n v="1660"/>
    <n v="134"/>
    <n v="0"/>
    <x v="2"/>
    <x v="2"/>
  </r>
  <r>
    <x v="93"/>
    <x v="89"/>
    <x v="48"/>
    <n v="0.02"/>
    <x v="10"/>
    <x v="14"/>
    <n v="1462"/>
    <n v="1499"/>
    <n v="37"/>
    <n v="0"/>
    <x v="2"/>
    <x v="2"/>
  </r>
  <r>
    <x v="94"/>
    <x v="90"/>
    <x v="82"/>
    <n v="0.49"/>
    <x v="10"/>
    <x v="14"/>
    <n v="248"/>
    <n v="486"/>
    <n v="238"/>
    <n v="0"/>
    <x v="2"/>
    <x v="1"/>
  </r>
  <r>
    <x v="95"/>
    <x v="91"/>
    <x v="16"/>
    <n v="0.04"/>
    <x v="10"/>
    <x v="14"/>
    <n v="3546"/>
    <n v="3699"/>
    <n v="153"/>
    <n v="0"/>
    <x v="2"/>
    <x v="2"/>
  </r>
  <r>
    <x v="96"/>
    <x v="92"/>
    <x v="83"/>
    <n v="0.49"/>
    <x v="10"/>
    <x v="14"/>
    <n v="525"/>
    <n v="1029"/>
    <n v="504"/>
    <n v="0"/>
    <x v="2"/>
    <x v="1"/>
  </r>
  <r>
    <x v="97"/>
    <x v="93"/>
    <x v="84"/>
    <n v="0.42"/>
    <x v="10"/>
    <x v="14"/>
    <n v="1080"/>
    <n v="1874"/>
    <n v="794"/>
    <n v="0"/>
    <x v="2"/>
    <x v="0"/>
  </r>
  <r>
    <x v="98"/>
    <x v="94"/>
    <x v="85"/>
    <n v="0.21"/>
    <x v="8"/>
    <x v="18"/>
    <n v="3640"/>
    <n v="4588"/>
    <n v="948"/>
    <n v="5"/>
    <x v="0"/>
    <x v="0"/>
  </r>
  <r>
    <x v="99"/>
    <x v="95"/>
    <x v="86"/>
    <n v="0.41"/>
    <x v="10"/>
    <x v="14"/>
    <n v="1420"/>
    <n v="2420"/>
    <n v="1000"/>
    <n v="0"/>
    <x v="2"/>
    <x v="0"/>
  </r>
  <r>
    <x v="100"/>
    <x v="96"/>
    <x v="87"/>
    <n v="0.01"/>
    <x v="10"/>
    <x v="14"/>
    <n v="1875"/>
    <n v="1899"/>
    <n v="24"/>
    <n v="0"/>
    <x v="2"/>
    <x v="2"/>
  </r>
  <r>
    <x v="101"/>
    <x v="97"/>
    <x v="88"/>
    <n v="0.24"/>
    <x v="10"/>
    <x v="14"/>
    <n v="198"/>
    <n v="260"/>
    <n v="62"/>
    <n v="0"/>
    <x v="2"/>
    <x v="0"/>
  </r>
  <r>
    <x v="102"/>
    <x v="98"/>
    <x v="89"/>
    <n v="0.34"/>
    <x v="10"/>
    <x v="14"/>
    <n v="1150"/>
    <n v="1737"/>
    <n v="587"/>
    <n v="0"/>
    <x v="2"/>
    <x v="0"/>
  </r>
  <r>
    <x v="103"/>
    <x v="44"/>
    <x v="90"/>
    <n v="0.34"/>
    <x v="10"/>
    <x v="14"/>
    <n v="1190"/>
    <n v="1810"/>
    <n v="620"/>
    <n v="0"/>
    <x v="2"/>
    <x v="0"/>
  </r>
  <r>
    <x v="104"/>
    <x v="99"/>
    <x v="46"/>
    <n v="0.02"/>
    <x v="10"/>
    <x v="14"/>
    <n v="1658"/>
    <n v="1699"/>
    <n v="41"/>
    <n v="0"/>
    <x v="2"/>
    <x v="2"/>
  </r>
  <r>
    <x v="105"/>
    <x v="100"/>
    <x v="69"/>
    <n v="0.02"/>
    <x v="10"/>
    <x v="14"/>
    <n v="1768"/>
    <n v="1799"/>
    <n v="31"/>
    <n v="0"/>
    <x v="2"/>
    <x v="2"/>
  </r>
  <r>
    <x v="106"/>
    <x v="47"/>
    <x v="91"/>
    <n v="0.64"/>
    <x v="10"/>
    <x v="14"/>
    <n v="199"/>
    <n v="553"/>
    <n v="354"/>
    <n v="0"/>
    <x v="2"/>
    <x v="1"/>
  </r>
  <r>
    <x v="107"/>
    <x v="101"/>
    <x v="50"/>
    <n v="0.5"/>
    <x v="22"/>
    <x v="18"/>
    <n v="450"/>
    <n v="900"/>
    <n v="450"/>
    <n v="2"/>
    <x v="2"/>
    <x v="1"/>
  </r>
  <r>
    <x v="108"/>
    <x v="102"/>
    <x v="92"/>
    <n v="0.47"/>
    <x v="10"/>
    <x v="14"/>
    <n v="169"/>
    <n v="320"/>
    <n v="151"/>
    <n v="0"/>
    <x v="2"/>
    <x v="1"/>
  </r>
  <r>
    <x v="109"/>
    <x v="103"/>
    <x v="93"/>
    <m/>
    <x v="10"/>
    <x v="14"/>
    <m/>
    <m/>
    <m/>
    <m/>
    <x v="3"/>
    <x v="3"/>
  </r>
  <r>
    <x v="109"/>
    <x v="104"/>
    <x v="94"/>
    <m/>
    <x v="10"/>
    <x v="24"/>
    <n v="1185.2857142857142"/>
    <n v="1806.6428571428571"/>
    <n v="621.35714285714289"/>
    <n v="1.9794642857142855"/>
    <x v="3"/>
    <x v="3"/>
  </r>
  <r>
    <x v="66"/>
    <x v="103"/>
    <x v="93"/>
    <m/>
    <x v="10"/>
    <x v="14"/>
    <n v="3750"/>
    <m/>
    <m/>
    <m/>
    <x v="3"/>
    <x v="3"/>
  </r>
  <r>
    <x v="20"/>
    <x v="103"/>
    <x v="93"/>
    <m/>
    <x v="10"/>
    <x v="14"/>
    <n v="38"/>
    <m/>
    <m/>
    <m/>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KSh 950"/>
    <s v="KSh 1,525"/>
    <n v="0.38"/>
    <x v="0"/>
    <n v="-2"/>
    <n v="950"/>
    <n v="1525"/>
    <x v="0"/>
    <n v="4.5"/>
    <x v="0"/>
    <x v="0"/>
  </r>
  <r>
    <x v="1"/>
    <s v="KSh 527"/>
    <s v="KSh 999"/>
    <n v="0.47"/>
    <x v="1"/>
    <n v="-14"/>
    <n v="527"/>
    <n v="999"/>
    <x v="1"/>
    <n v="4.0999999999999996"/>
    <x v="1"/>
    <x v="1"/>
  </r>
  <r>
    <x v="2"/>
    <s v="KSh 2,199"/>
    <s v="KSh 2,923"/>
    <n v="0.25"/>
    <x v="2"/>
    <n v="-24"/>
    <n v="2199"/>
    <n v="2923"/>
    <x v="2"/>
    <n v="4.5999999999999996"/>
    <x v="0"/>
    <x v="0"/>
  </r>
  <r>
    <x v="3"/>
    <s v="KSh 1,580"/>
    <s v="KSh 2,499"/>
    <n v="0.37"/>
    <x v="3"/>
    <n v="-7"/>
    <n v="1580"/>
    <n v="2499"/>
    <x v="3"/>
    <n v="4.7"/>
    <x v="0"/>
    <x v="0"/>
  </r>
  <r>
    <x v="4"/>
    <s v="KSh 1,740"/>
    <s v="KSh 2,356"/>
    <n v="0.26"/>
    <x v="4"/>
    <n v="-5"/>
    <n v="1740"/>
    <n v="2356"/>
    <x v="4"/>
    <n v="4.8"/>
    <x v="0"/>
    <x v="0"/>
  </r>
  <r>
    <x v="5"/>
    <s v="KSh 2,999"/>
    <s v="KSh 3,290"/>
    <n v="0.09"/>
    <x v="5"/>
    <n v="-15"/>
    <n v="2999"/>
    <n v="3290"/>
    <x v="5"/>
    <n v="4"/>
    <x v="1"/>
    <x v="2"/>
  </r>
  <r>
    <x v="6"/>
    <s v="KSh 2,319"/>
    <s v="KSh 3,032"/>
    <n v="0.24"/>
    <x v="2"/>
    <n v="-55"/>
    <n v="2319"/>
    <n v="3032"/>
    <x v="6"/>
    <n v="4.5999999999999996"/>
    <x v="0"/>
    <x v="0"/>
  </r>
  <r>
    <x v="7"/>
    <s v="KSh 988"/>
    <s v="KSh 1,580"/>
    <n v="0.37"/>
    <x v="5"/>
    <n v="-2"/>
    <n v="988"/>
    <n v="1580"/>
    <x v="7"/>
    <n v="4"/>
    <x v="1"/>
    <x v="0"/>
  </r>
  <r>
    <x v="8"/>
    <s v="KSh 1,274"/>
    <s v="KSh 2,800"/>
    <n v="0.55000000000000004"/>
    <x v="4"/>
    <n v="-5"/>
    <n v="1274"/>
    <n v="2800"/>
    <x v="8"/>
    <n v="4.8"/>
    <x v="0"/>
    <x v="1"/>
  </r>
  <r>
    <x v="9"/>
    <s v="KSh 1,600"/>
    <s v="KSh 2,929"/>
    <n v="0.45"/>
    <x v="6"/>
    <n v="-5"/>
    <n v="1600"/>
    <n v="2929"/>
    <x v="9"/>
    <n v="3.8"/>
    <x v="1"/>
    <x v="1"/>
  </r>
  <r>
    <x v="10"/>
    <s v="KSh 799"/>
    <s v="KSh 999"/>
    <n v="0.2"/>
    <x v="1"/>
    <n v="-12"/>
    <n v="799"/>
    <n v="999"/>
    <x v="10"/>
    <n v="4.0999999999999996"/>
    <x v="1"/>
    <x v="0"/>
  </r>
  <r>
    <x v="11"/>
    <s v="KSh 990"/>
    <s v="KSh 1,500"/>
    <n v="0.34"/>
    <x v="3"/>
    <n v="-39"/>
    <n v="990"/>
    <n v="1500"/>
    <x v="11"/>
    <n v="4.7"/>
    <x v="0"/>
    <x v="0"/>
  </r>
  <r>
    <x v="12"/>
    <s v="KSh 552"/>
    <s v="KSh 1,035"/>
    <n v="0.47"/>
    <x v="4"/>
    <n v="-12"/>
    <n v="552"/>
    <n v="1035"/>
    <x v="12"/>
    <n v="4.8"/>
    <x v="0"/>
    <x v="1"/>
  </r>
  <r>
    <x v="13"/>
    <s v="KSh 501"/>
    <s v="KSh 860"/>
    <n v="0.42"/>
    <x v="0"/>
    <n v="-6"/>
    <n v="501"/>
    <n v="860"/>
    <x v="13"/>
    <n v="4.5"/>
    <x v="0"/>
    <x v="0"/>
  </r>
  <r>
    <x v="14"/>
    <s v="KSh 1,680"/>
    <s v="KSh 2,499"/>
    <n v="0.33"/>
    <x v="7"/>
    <n v="-9"/>
    <n v="1680"/>
    <n v="2499"/>
    <x v="14"/>
    <n v="4.2"/>
    <x v="1"/>
    <x v="0"/>
  </r>
  <r>
    <x v="15"/>
    <s v="KSh 332"/>
    <s v="KSh 684"/>
    <n v="0.51"/>
    <x v="8"/>
    <n v="-2"/>
    <n v="332"/>
    <n v="684"/>
    <x v="15"/>
    <n v="5"/>
    <x v="0"/>
    <x v="1"/>
  </r>
  <r>
    <x v="16"/>
    <s v="KSh 195"/>
    <s v="KSh 360"/>
    <n v="0.46"/>
    <x v="8"/>
    <n v="-2"/>
    <n v="195"/>
    <n v="360"/>
    <x v="16"/>
    <n v="5"/>
    <x v="0"/>
    <x v="1"/>
  </r>
  <r>
    <x v="17"/>
    <s v="KSh 2,025"/>
    <s v="KSh 3,971"/>
    <n v="0.49"/>
    <x v="8"/>
    <n v="-3"/>
    <n v="2025"/>
    <n v="3971"/>
    <x v="17"/>
    <n v="5"/>
    <x v="0"/>
    <x v="1"/>
  </r>
  <r>
    <x v="18"/>
    <s v="KSh 2,999"/>
    <s v="KSh 3,699"/>
    <n v="0.19"/>
    <x v="2"/>
    <n v="-5"/>
    <n v="2999"/>
    <n v="3699"/>
    <x v="18"/>
    <n v="4.5999999999999996"/>
    <x v="0"/>
    <x v="2"/>
  </r>
  <r>
    <x v="19"/>
    <s v="KSh 998"/>
    <s v="KSh 1,966"/>
    <n v="0.49"/>
    <x v="2"/>
    <n v="-44"/>
    <n v="998"/>
    <n v="1966"/>
    <x v="19"/>
    <n v="4.5999999999999996"/>
    <x v="0"/>
    <x v="1"/>
  </r>
  <r>
    <x v="20"/>
    <s v="KSh 38"/>
    <s v="KSh 80"/>
    <n v="0.53"/>
    <x v="9"/>
    <n v="-13"/>
    <n v="38"/>
    <n v="80"/>
    <x v="20"/>
    <n v="3.3"/>
    <x v="1"/>
    <x v="1"/>
  </r>
  <r>
    <x v="21"/>
    <s v="KSh 1,860"/>
    <s v="KSh 3,220"/>
    <n v="0.42"/>
    <x v="10"/>
    <m/>
    <n v="1860"/>
    <n v="3220"/>
    <x v="21"/>
    <n v="0"/>
    <x v="2"/>
    <x v="0"/>
  </r>
  <r>
    <x v="22"/>
    <s v="KSh 880"/>
    <s v="KSh 1,350"/>
    <n v="0.35"/>
    <x v="5"/>
    <n v="-6"/>
    <n v="880"/>
    <n v="1350"/>
    <x v="22"/>
    <n v="4"/>
    <x v="1"/>
    <x v="0"/>
  </r>
  <r>
    <x v="23"/>
    <s v="KSh 1,650"/>
    <s v="KSh 2,150"/>
    <n v="0.23"/>
    <x v="11"/>
    <n v="-14"/>
    <n v="1650"/>
    <n v="2150"/>
    <x v="23"/>
    <n v="4.4000000000000004"/>
    <x v="1"/>
    <x v="0"/>
  </r>
  <r>
    <x v="24"/>
    <s v="KSh 2,048"/>
    <s v="KSh 4,500"/>
    <n v="0.54"/>
    <x v="12"/>
    <n v="-7"/>
    <n v="2048"/>
    <n v="4500"/>
    <x v="24"/>
    <n v="4.3"/>
    <x v="1"/>
    <x v="1"/>
  </r>
  <r>
    <x v="25"/>
    <s v="KSh 420"/>
    <s v="KSh 647"/>
    <n v="0.35"/>
    <x v="2"/>
    <n v="-49"/>
    <n v="420"/>
    <n v="647"/>
    <x v="25"/>
    <n v="4.5999999999999996"/>
    <x v="0"/>
    <x v="0"/>
  </r>
  <r>
    <x v="26"/>
    <s v="KSh 2,880"/>
    <s v="KSh 3,520"/>
    <n v="0.18"/>
    <x v="6"/>
    <n v="-12"/>
    <n v="2880"/>
    <n v="3520"/>
    <x v="26"/>
    <n v="3.8"/>
    <x v="1"/>
    <x v="2"/>
  </r>
  <r>
    <x v="27"/>
    <s v="KSh 1,350"/>
    <s v="KSh 1,990"/>
    <n v="0.32"/>
    <x v="6"/>
    <n v="-13"/>
    <n v="1350"/>
    <n v="1990"/>
    <x v="26"/>
    <n v="3.8"/>
    <x v="1"/>
    <x v="0"/>
  </r>
  <r>
    <x v="28"/>
    <s v="KSh 1,758"/>
    <s v="KSh 2,499"/>
    <n v="0.3"/>
    <x v="1"/>
    <n v="-20"/>
    <n v="1758"/>
    <n v="2499"/>
    <x v="27"/>
    <n v="4.0999999999999996"/>
    <x v="1"/>
    <x v="0"/>
  </r>
  <r>
    <x v="29"/>
    <s v="KSh 2,200"/>
    <s v="KSh 4,080"/>
    <n v="0.46"/>
    <x v="10"/>
    <m/>
    <n v="2200"/>
    <n v="4080"/>
    <x v="28"/>
    <n v="0"/>
    <x v="2"/>
    <x v="1"/>
  </r>
  <r>
    <x v="30"/>
    <s v="KSh 185"/>
    <s v="KSh 382"/>
    <n v="0.52"/>
    <x v="12"/>
    <n v="-9"/>
    <n v="185"/>
    <n v="382"/>
    <x v="29"/>
    <n v="4.3"/>
    <x v="1"/>
    <x v="1"/>
  </r>
  <r>
    <x v="31"/>
    <s v="KSh 980"/>
    <s v="KSh 1,490"/>
    <n v="0.34"/>
    <x v="3"/>
    <n v="-12"/>
    <n v="980"/>
    <n v="1490"/>
    <x v="11"/>
    <n v="4.7"/>
    <x v="0"/>
    <x v="0"/>
  </r>
  <r>
    <x v="32"/>
    <s v="KSh 1,820"/>
    <s v="KSh 3,490"/>
    <n v="0.48"/>
    <x v="12"/>
    <n v="-9"/>
    <n v="1820"/>
    <n v="3490"/>
    <x v="30"/>
    <n v="4.3"/>
    <x v="1"/>
    <x v="1"/>
  </r>
  <r>
    <x v="33"/>
    <s v="KSh 1,940"/>
    <s v="KSh 2,650"/>
    <n v="0.27"/>
    <x v="3"/>
    <n v="-20"/>
    <n v="1940"/>
    <n v="2650"/>
    <x v="31"/>
    <n v="4.7"/>
    <x v="0"/>
    <x v="0"/>
  </r>
  <r>
    <x v="34"/>
    <s v="KSh 1,980"/>
    <s v="KSh 2,699"/>
    <n v="0.27"/>
    <x v="0"/>
    <n v="-32"/>
    <n v="1980"/>
    <n v="2699"/>
    <x v="32"/>
    <n v="4.5"/>
    <x v="0"/>
    <x v="0"/>
  </r>
  <r>
    <x v="35"/>
    <s v="KSh 1,620"/>
    <s v="KSh 2,690"/>
    <n v="0.4"/>
    <x v="8"/>
    <n v="-1"/>
    <n v="1620"/>
    <n v="2690"/>
    <x v="33"/>
    <n v="5"/>
    <x v="0"/>
    <x v="0"/>
  </r>
  <r>
    <x v="36"/>
    <s v="KSh 171"/>
    <s v="KSh 360"/>
    <n v="0.53"/>
    <x v="8"/>
    <n v="-2"/>
    <n v="171"/>
    <n v="360"/>
    <x v="34"/>
    <n v="5"/>
    <x v="0"/>
    <x v="1"/>
  </r>
  <r>
    <x v="37"/>
    <s v="KSh 389"/>
    <s v="KSh 656"/>
    <n v="0.41"/>
    <x v="12"/>
    <n v="-36"/>
    <n v="389"/>
    <n v="656"/>
    <x v="35"/>
    <n v="4.3"/>
    <x v="1"/>
    <x v="0"/>
  </r>
  <r>
    <x v="38"/>
    <s v="KSh 1,620 - KSh 1,980"/>
    <s v="KSh 2,200 - KSh 3,200"/>
    <n v="0.38"/>
    <x v="0"/>
    <n v="-2"/>
    <n v="1620"/>
    <n v="2200"/>
    <x v="36"/>
    <n v="4.5"/>
    <x v="0"/>
    <x v="0"/>
  </r>
  <r>
    <x v="39"/>
    <s v="KSh 2,750"/>
    <s v="KSh 4,471"/>
    <n v="0.38"/>
    <x v="10"/>
    <m/>
    <n v="2750"/>
    <n v="4471"/>
    <x v="37"/>
    <n v="0"/>
    <x v="2"/>
    <x v="0"/>
  </r>
  <r>
    <x v="40"/>
    <s v="KSh 475"/>
    <s v="KSh 931"/>
    <n v="0.49"/>
    <x v="10"/>
    <m/>
    <n v="475"/>
    <n v="931"/>
    <x v="38"/>
    <n v="0"/>
    <x v="2"/>
    <x v="1"/>
  </r>
  <r>
    <x v="41"/>
    <s v="KSh 238"/>
    <s v="KSh 476"/>
    <n v="0.5"/>
    <x v="10"/>
    <m/>
    <n v="238"/>
    <n v="476"/>
    <x v="39"/>
    <n v="0"/>
    <x v="2"/>
    <x v="1"/>
  </r>
  <r>
    <x v="42"/>
    <s v="KSh 610"/>
    <s v="KSh 1,060"/>
    <n v="0.42"/>
    <x v="10"/>
    <m/>
    <n v="610"/>
    <n v="1060"/>
    <x v="40"/>
    <n v="0"/>
    <x v="2"/>
    <x v="0"/>
  </r>
  <r>
    <x v="43"/>
    <s v="KSh 2,132"/>
    <s v="KSh 2,169"/>
    <n v="0.02"/>
    <x v="10"/>
    <m/>
    <n v="2132"/>
    <n v="2169"/>
    <x v="41"/>
    <n v="0"/>
    <x v="2"/>
    <x v="2"/>
  </r>
  <r>
    <x v="44"/>
    <s v="KSh 999"/>
    <s v="KSh 2,000"/>
    <n v="0.5"/>
    <x v="10"/>
    <m/>
    <n v="999"/>
    <n v="2000"/>
    <x v="42"/>
    <n v="0"/>
    <x v="2"/>
    <x v="1"/>
  </r>
  <r>
    <x v="45"/>
    <s v="KSh 1,190"/>
    <s v="KSh 1,785"/>
    <n v="0.33"/>
    <x v="10"/>
    <m/>
    <n v="1190"/>
    <n v="1785"/>
    <x v="43"/>
    <n v="0"/>
    <x v="2"/>
    <x v="0"/>
  </r>
  <r>
    <x v="46"/>
    <s v="KSh 671"/>
    <s v="KSh 1,316"/>
    <n v="0.49"/>
    <x v="10"/>
    <m/>
    <n v="671"/>
    <n v="1316"/>
    <x v="44"/>
    <n v="0"/>
    <x v="2"/>
    <x v="1"/>
  </r>
  <r>
    <x v="47"/>
    <s v="KSh 1,200"/>
    <s v="KSh 1,950"/>
    <n v="0.38"/>
    <x v="10"/>
    <m/>
    <n v="1200"/>
    <n v="1950"/>
    <x v="45"/>
    <n v="0"/>
    <x v="2"/>
    <x v="0"/>
  </r>
  <r>
    <x v="48"/>
    <s v="KSh 199"/>
    <s v="KSh 504"/>
    <n v="0.61"/>
    <x v="10"/>
    <m/>
    <n v="199"/>
    <n v="504"/>
    <x v="46"/>
    <n v="0"/>
    <x v="2"/>
    <x v="1"/>
  </r>
  <r>
    <x v="49"/>
    <s v="KSh 299"/>
    <s v="KSh 600"/>
    <n v="0.5"/>
    <x v="10"/>
    <m/>
    <n v="299"/>
    <n v="600"/>
    <x v="47"/>
    <n v="0"/>
    <x v="2"/>
    <x v="1"/>
  </r>
  <r>
    <x v="50"/>
    <s v="KSh 1,660"/>
    <s v="KSh 1,699"/>
    <n v="0.02"/>
    <x v="10"/>
    <m/>
    <n v="1660"/>
    <n v="1699"/>
    <x v="48"/>
    <n v="0"/>
    <x v="2"/>
    <x v="2"/>
  </r>
  <r>
    <x v="51"/>
    <s v="KSh 299"/>
    <s v="KSh 384"/>
    <n v="0.22"/>
    <x v="10"/>
    <m/>
    <n v="299"/>
    <n v="384"/>
    <x v="49"/>
    <n v="0"/>
    <x v="2"/>
    <x v="0"/>
  </r>
  <r>
    <x v="52"/>
    <s v="KSh 1,459"/>
    <s v="KSh 1,499"/>
    <n v="0.03"/>
    <x v="10"/>
    <m/>
    <n v="1459"/>
    <n v="1499"/>
    <x v="50"/>
    <n v="0"/>
    <x v="2"/>
    <x v="2"/>
  </r>
  <r>
    <x v="53"/>
    <s v="KSh 799"/>
    <s v="KSh 1,343"/>
    <n v="0.41"/>
    <x v="10"/>
    <m/>
    <n v="799"/>
    <n v="1343"/>
    <x v="51"/>
    <n v="0"/>
    <x v="2"/>
    <x v="0"/>
  </r>
  <r>
    <x v="54"/>
    <s v="KSh 499"/>
    <s v="KSh 900"/>
    <n v="0.45"/>
    <x v="10"/>
    <m/>
    <n v="499"/>
    <n v="900"/>
    <x v="52"/>
    <n v="0"/>
    <x v="2"/>
    <x v="1"/>
  </r>
  <r>
    <x v="55"/>
    <s v="KSh 699"/>
    <s v="KSh 1,343"/>
    <n v="0.48"/>
    <x v="10"/>
    <m/>
    <n v="699"/>
    <n v="1343"/>
    <x v="53"/>
    <n v="0"/>
    <x v="2"/>
    <x v="1"/>
  </r>
  <r>
    <x v="56"/>
    <s v="KSh 799"/>
    <s v="KSh 1,567"/>
    <n v="0.49"/>
    <x v="10"/>
    <m/>
    <n v="799"/>
    <n v="1567"/>
    <x v="54"/>
    <n v="0"/>
    <x v="2"/>
    <x v="1"/>
  </r>
  <r>
    <x v="57"/>
    <s v="KSh 2,799"/>
    <s v="KSh 3,810"/>
    <n v="0.27"/>
    <x v="10"/>
    <m/>
    <n v="2799"/>
    <n v="3810"/>
    <x v="55"/>
    <n v="0"/>
    <x v="2"/>
    <x v="0"/>
  </r>
  <r>
    <x v="54"/>
    <s v="KSh 399"/>
    <s v="KSh 896"/>
    <n v="0.55000000000000004"/>
    <x v="10"/>
    <m/>
    <n v="399"/>
    <n v="896"/>
    <x v="56"/>
    <n v="0"/>
    <x v="2"/>
    <x v="1"/>
  </r>
  <r>
    <x v="58"/>
    <s v="KSh 2,170"/>
    <s v="KSh 2,500"/>
    <n v="0.13"/>
    <x v="13"/>
    <n v="-6"/>
    <n v="2170"/>
    <n v="2500"/>
    <x v="57"/>
    <n v="2.5"/>
    <x v="2"/>
    <x v="2"/>
  </r>
  <r>
    <x v="59"/>
    <s v="KSh 458"/>
    <s v="KSh 986"/>
    <n v="0.54"/>
    <x v="14"/>
    <n v="-10"/>
    <n v="458"/>
    <n v="986"/>
    <x v="58"/>
    <n v="3"/>
    <x v="1"/>
    <x v="1"/>
  </r>
  <r>
    <x v="60"/>
    <s v="KSh 2,115"/>
    <s v="KSh 4,700"/>
    <n v="0.55000000000000004"/>
    <x v="15"/>
    <n v="-13"/>
    <n v="2115"/>
    <n v="4700"/>
    <x v="59"/>
    <n v="2.1"/>
    <x v="2"/>
    <x v="1"/>
  </r>
  <r>
    <x v="61"/>
    <s v="KSh 445"/>
    <s v="KSh 873"/>
    <n v="0.49"/>
    <x v="16"/>
    <n v="-69"/>
    <n v="445"/>
    <n v="873"/>
    <x v="60"/>
    <n v="2.8"/>
    <x v="2"/>
    <x v="1"/>
  </r>
  <r>
    <x v="62"/>
    <s v="KSh 325"/>
    <s v="KSh 680"/>
    <n v="0.52"/>
    <x v="17"/>
    <n v="-15"/>
    <n v="325"/>
    <n v="680"/>
    <x v="61"/>
    <n v="2.7"/>
    <x v="2"/>
    <x v="1"/>
  </r>
  <r>
    <x v="63"/>
    <s v="KSh 1,220"/>
    <s v="KSh 1,555"/>
    <n v="0.22"/>
    <x v="18"/>
    <n v="-16"/>
    <n v="1220"/>
    <n v="1555"/>
    <x v="62"/>
    <n v="2.9"/>
    <x v="2"/>
    <x v="0"/>
  </r>
  <r>
    <x v="64"/>
    <s v="KSh 990"/>
    <s v="KSh 1,814"/>
    <n v="0.45"/>
    <x v="19"/>
    <n v="-6"/>
    <n v="990"/>
    <n v="1814"/>
    <x v="63"/>
    <n v="2.2000000000000002"/>
    <x v="2"/>
    <x v="1"/>
  </r>
  <r>
    <x v="65"/>
    <s v="KSh 1,000"/>
    <s v="KSh 2,000"/>
    <n v="0.5"/>
    <x v="20"/>
    <n v="-7"/>
    <n v="1000"/>
    <n v="2000"/>
    <x v="64"/>
    <n v="2.2999999999999998"/>
    <x v="2"/>
    <x v="1"/>
  </r>
  <r>
    <x v="66"/>
    <s v="KSh 3,750"/>
    <s v="KSh 6,143"/>
    <n v="0.39"/>
    <x v="14"/>
    <n v="-5"/>
    <n v="3750"/>
    <n v="6143"/>
    <x v="65"/>
    <n v="3"/>
    <x v="1"/>
    <x v="0"/>
  </r>
  <r>
    <x v="67"/>
    <s v="KSh 382"/>
    <s v="KSh 700"/>
    <n v="0.45"/>
    <x v="21"/>
    <n v="-17"/>
    <n v="382"/>
    <n v="700"/>
    <x v="66"/>
    <n v="2.6"/>
    <x v="2"/>
    <x v="1"/>
  </r>
  <r>
    <x v="68"/>
    <s v="KSh 2,300"/>
    <s v="KSh 3,240"/>
    <n v="0.28999999999999998"/>
    <x v="14"/>
    <n v="-5"/>
    <n v="2300"/>
    <n v="3240"/>
    <x v="67"/>
    <n v="3"/>
    <x v="1"/>
    <x v="0"/>
  </r>
  <r>
    <x v="69"/>
    <s v="KSh 345"/>
    <s v="KSh 602"/>
    <n v="0.43"/>
    <x v="20"/>
    <n v="-6"/>
    <n v="345"/>
    <n v="602"/>
    <x v="68"/>
    <n v="2.2999999999999998"/>
    <x v="2"/>
    <x v="0"/>
  </r>
  <r>
    <x v="70"/>
    <s v="KSh 509"/>
    <s v="KSh 899"/>
    <n v="0.43"/>
    <x v="14"/>
    <n v="-5"/>
    <n v="509"/>
    <n v="899"/>
    <x v="69"/>
    <n v="3"/>
    <x v="1"/>
    <x v="0"/>
  </r>
  <r>
    <x v="71"/>
    <s v="KSh 968"/>
    <s v="KSh 1,814"/>
    <n v="0.47"/>
    <x v="19"/>
    <n v="-6"/>
    <n v="968"/>
    <n v="1814"/>
    <x v="70"/>
    <n v="2.2000000000000002"/>
    <x v="2"/>
    <x v="1"/>
  </r>
  <r>
    <x v="72"/>
    <s v="KSh 1,570"/>
    <s v="KSh 2,988"/>
    <n v="0.47"/>
    <x v="15"/>
    <n v="-7"/>
    <n v="1570"/>
    <n v="2988"/>
    <x v="71"/>
    <n v="2.1"/>
    <x v="2"/>
    <x v="1"/>
  </r>
  <r>
    <x v="73"/>
    <s v="KSh 790"/>
    <s v="KSh 1,485"/>
    <n v="0.47"/>
    <x v="10"/>
    <m/>
    <n v="790"/>
    <n v="1485"/>
    <x v="72"/>
    <n v="0"/>
    <x v="2"/>
    <x v="1"/>
  </r>
  <r>
    <x v="74"/>
    <s v="KSh 690"/>
    <s v="KSh 1,200"/>
    <n v="0.43"/>
    <x v="10"/>
    <m/>
    <n v="690"/>
    <n v="1200"/>
    <x v="11"/>
    <n v="0"/>
    <x v="2"/>
    <x v="0"/>
  </r>
  <r>
    <x v="75"/>
    <s v="KSh 1,732"/>
    <s v="KSh 1,799"/>
    <n v="0.04"/>
    <x v="10"/>
    <m/>
    <n v="1732"/>
    <n v="1799"/>
    <x v="73"/>
    <n v="0"/>
    <x v="2"/>
    <x v="2"/>
  </r>
  <r>
    <x v="76"/>
    <s v="KSh 230"/>
    <s v="KSh 450"/>
    <n v="0.49"/>
    <x v="10"/>
    <m/>
    <n v="230"/>
    <n v="450"/>
    <x v="74"/>
    <n v="0"/>
    <x v="2"/>
    <x v="1"/>
  </r>
  <r>
    <x v="77"/>
    <s v="KSh 1,189"/>
    <s v="KSh 2,199"/>
    <n v="0.46"/>
    <x v="14"/>
    <n v="-1"/>
    <n v="1189"/>
    <n v="2199"/>
    <x v="75"/>
    <n v="3"/>
    <x v="1"/>
    <x v="1"/>
  </r>
  <r>
    <x v="78"/>
    <s v="KSh 979"/>
    <s v="KSh 1,920"/>
    <n v="0.49"/>
    <x v="8"/>
    <n v="-1"/>
    <n v="979"/>
    <n v="1920"/>
    <x v="76"/>
    <n v="5"/>
    <x v="0"/>
    <x v="1"/>
  </r>
  <r>
    <x v="79"/>
    <s v="KSh 1,460"/>
    <s v="KSh 2,290"/>
    <n v="0.36"/>
    <x v="10"/>
    <m/>
    <n v="1460"/>
    <n v="2290"/>
    <x v="77"/>
    <n v="0"/>
    <x v="2"/>
    <x v="0"/>
  </r>
  <r>
    <x v="80"/>
    <s v="KSh 1,666"/>
    <s v="KSh 1,699"/>
    <n v="0.02"/>
    <x v="10"/>
    <m/>
    <n v="1666"/>
    <n v="1699"/>
    <x v="78"/>
    <n v="0"/>
    <x v="2"/>
    <x v="2"/>
  </r>
  <r>
    <x v="81"/>
    <s v="KSh 330"/>
    <s v="KSh 647"/>
    <n v="0.49"/>
    <x v="5"/>
    <n v="-1"/>
    <n v="330"/>
    <n v="647"/>
    <x v="79"/>
    <n v="4"/>
    <x v="1"/>
    <x v="1"/>
  </r>
  <r>
    <x v="48"/>
    <s v="KSh 176"/>
    <s v="KSh 345"/>
    <n v="0.49"/>
    <x v="10"/>
    <m/>
    <n v="176"/>
    <n v="345"/>
    <x v="80"/>
    <n v="0"/>
    <x v="2"/>
    <x v="1"/>
  </r>
  <r>
    <x v="82"/>
    <s v="KSh 1,466"/>
    <s v="KSh 1,699"/>
    <n v="0.14000000000000001"/>
    <x v="10"/>
    <m/>
    <n v="1466"/>
    <n v="1699"/>
    <x v="81"/>
    <n v="0"/>
    <x v="2"/>
    <x v="2"/>
  </r>
  <r>
    <x v="83"/>
    <s v="KSh 274"/>
    <s v="KSh 537"/>
    <n v="0.49"/>
    <x v="10"/>
    <m/>
    <n v="274"/>
    <n v="537"/>
    <x v="82"/>
    <n v="0"/>
    <x v="2"/>
    <x v="1"/>
  </r>
  <r>
    <x v="84"/>
    <s v="KSh 799"/>
    <s v="KSh 900"/>
    <n v="0.11"/>
    <x v="10"/>
    <m/>
    <n v="799"/>
    <n v="900"/>
    <x v="83"/>
    <n v="0"/>
    <x v="2"/>
    <x v="2"/>
  </r>
  <r>
    <x v="56"/>
    <s v="KSh 657"/>
    <s v="KSh 1,288"/>
    <n v="0.49"/>
    <x v="10"/>
    <m/>
    <n v="657"/>
    <n v="1288"/>
    <x v="84"/>
    <n v="0"/>
    <x v="2"/>
    <x v="1"/>
  </r>
  <r>
    <x v="85"/>
    <s v="KSh 1,468"/>
    <s v="KSh 1,699"/>
    <n v="0.14000000000000001"/>
    <x v="10"/>
    <m/>
    <n v="1468"/>
    <n v="1699"/>
    <x v="85"/>
    <n v="0"/>
    <x v="2"/>
    <x v="2"/>
  </r>
  <r>
    <x v="86"/>
    <s v="KSh 630"/>
    <s v="KSh 1,100"/>
    <n v="0.43"/>
    <x v="10"/>
    <m/>
    <n v="630"/>
    <n v="1100"/>
    <x v="22"/>
    <n v="0"/>
    <x v="2"/>
    <x v="0"/>
  </r>
  <r>
    <x v="87"/>
    <s v="KSh 850"/>
    <s v="KSh 1,700"/>
    <n v="0.5"/>
    <x v="10"/>
    <m/>
    <n v="850"/>
    <n v="1700"/>
    <x v="86"/>
    <n v="0"/>
    <x v="2"/>
    <x v="1"/>
  </r>
  <r>
    <x v="88"/>
    <s v="KSh 1,300"/>
    <s v="KSh 2,500"/>
    <n v="0.48"/>
    <x v="10"/>
    <m/>
    <n v="1300"/>
    <n v="2500"/>
    <x v="87"/>
    <n v="0"/>
    <x v="2"/>
    <x v="1"/>
  </r>
  <r>
    <x v="89"/>
    <s v="KSh 105"/>
    <s v="KSh 200"/>
    <n v="0.48"/>
    <x v="10"/>
    <m/>
    <n v="105"/>
    <n v="200"/>
    <x v="88"/>
    <n v="0"/>
    <x v="2"/>
    <x v="1"/>
  </r>
  <r>
    <x v="90"/>
    <s v="KSh 899"/>
    <s v="KSh 1,699"/>
    <n v="0.47"/>
    <x v="10"/>
    <m/>
    <n v="899"/>
    <n v="1699"/>
    <x v="89"/>
    <n v="0"/>
    <x v="2"/>
    <x v="1"/>
  </r>
  <r>
    <x v="91"/>
    <s v="KSh 1,200"/>
    <s v="KSh 2,400"/>
    <n v="0.5"/>
    <x v="10"/>
    <m/>
    <n v="1200"/>
    <n v="2400"/>
    <x v="87"/>
    <n v="0"/>
    <x v="2"/>
    <x v="1"/>
  </r>
  <r>
    <x v="92"/>
    <s v="KSh 1,526"/>
    <s v="KSh 1,660"/>
    <n v="0.08"/>
    <x v="10"/>
    <m/>
    <n v="1526"/>
    <n v="1660"/>
    <x v="90"/>
    <n v="0"/>
    <x v="2"/>
    <x v="2"/>
  </r>
  <r>
    <x v="93"/>
    <s v="KSh 1,462"/>
    <s v="KSh 1,499"/>
    <n v="0.02"/>
    <x v="10"/>
    <m/>
    <n v="1462"/>
    <n v="1499"/>
    <x v="41"/>
    <n v="0"/>
    <x v="2"/>
    <x v="2"/>
  </r>
  <r>
    <x v="94"/>
    <s v="KSh 248"/>
    <s v="KSh 486"/>
    <n v="0.49"/>
    <x v="10"/>
    <m/>
    <n v="248"/>
    <n v="486"/>
    <x v="39"/>
    <n v="0"/>
    <x v="2"/>
    <x v="1"/>
  </r>
  <r>
    <x v="95"/>
    <s v="KSh 3,546"/>
    <s v="KSh 3,699"/>
    <n v="0.04"/>
    <x v="10"/>
    <m/>
    <n v="3546"/>
    <n v="3699"/>
    <x v="91"/>
    <n v="0"/>
    <x v="2"/>
    <x v="2"/>
  </r>
  <r>
    <x v="96"/>
    <s v="KSh 525"/>
    <s v="KSh 1,029"/>
    <n v="0.49"/>
    <x v="10"/>
    <m/>
    <n v="525"/>
    <n v="1029"/>
    <x v="92"/>
    <n v="0"/>
    <x v="2"/>
    <x v="1"/>
  </r>
  <r>
    <x v="97"/>
    <s v="KSh 1,080"/>
    <s v="KSh 1,874"/>
    <n v="0.42"/>
    <x v="10"/>
    <m/>
    <n v="1080"/>
    <n v="1874"/>
    <x v="93"/>
    <n v="0"/>
    <x v="2"/>
    <x v="0"/>
  </r>
  <r>
    <x v="98"/>
    <s v="KSh 3,640"/>
    <s v="KSh 4,588"/>
    <n v="0.21"/>
    <x v="8"/>
    <n v="-1"/>
    <n v="3640"/>
    <n v="4588"/>
    <x v="94"/>
    <n v="5"/>
    <x v="0"/>
    <x v="0"/>
  </r>
  <r>
    <x v="99"/>
    <s v="KSh 1,420"/>
    <s v="KSh 2,420"/>
    <n v="0.41"/>
    <x v="10"/>
    <m/>
    <n v="1420"/>
    <n v="2420"/>
    <x v="64"/>
    <n v="0"/>
    <x v="2"/>
    <x v="0"/>
  </r>
  <r>
    <x v="100"/>
    <s v="KSh 1,875"/>
    <s v="KSh 1,899"/>
    <n v="0.01"/>
    <x v="10"/>
    <m/>
    <n v="1875"/>
    <n v="1899"/>
    <x v="95"/>
    <n v="0"/>
    <x v="2"/>
    <x v="2"/>
  </r>
  <r>
    <x v="101"/>
    <s v="KSh 198"/>
    <s v="KSh 260"/>
    <n v="0.24"/>
    <x v="10"/>
    <m/>
    <n v="198"/>
    <n v="260"/>
    <x v="96"/>
    <n v="0"/>
    <x v="2"/>
    <x v="0"/>
  </r>
  <r>
    <x v="102"/>
    <s v="KSh 1,150"/>
    <s v="KSh 1,737"/>
    <n v="0.34"/>
    <x v="10"/>
    <m/>
    <n v="1150"/>
    <n v="1737"/>
    <x v="97"/>
    <n v="0"/>
    <x v="2"/>
    <x v="0"/>
  </r>
  <r>
    <x v="103"/>
    <s v="KSh 1,190"/>
    <s v="KSh 1,810"/>
    <n v="0.34"/>
    <x v="10"/>
    <m/>
    <n v="1190"/>
    <n v="1810"/>
    <x v="98"/>
    <n v="0"/>
    <x v="2"/>
    <x v="0"/>
  </r>
  <r>
    <x v="104"/>
    <s v="KSh 1,658"/>
    <s v="KSh 1,699"/>
    <n v="0.02"/>
    <x v="10"/>
    <m/>
    <n v="1658"/>
    <n v="1699"/>
    <x v="99"/>
    <n v="0"/>
    <x v="2"/>
    <x v="2"/>
  </r>
  <r>
    <x v="105"/>
    <s v="KSh 1,768"/>
    <s v="KSh 1,799"/>
    <n v="0.02"/>
    <x v="10"/>
    <m/>
    <n v="1768"/>
    <n v="1799"/>
    <x v="100"/>
    <n v="0"/>
    <x v="2"/>
    <x v="2"/>
  </r>
  <r>
    <x v="106"/>
    <s v="KSh 199"/>
    <s v="KSh 553"/>
    <n v="0.64"/>
    <x v="10"/>
    <m/>
    <n v="199"/>
    <n v="553"/>
    <x v="101"/>
    <n v="0"/>
    <x v="2"/>
    <x v="1"/>
  </r>
  <r>
    <x v="107"/>
    <s v="KSh 450"/>
    <s v="KSh 900"/>
    <n v="0.5"/>
    <x v="22"/>
    <n v="-1"/>
    <n v="450"/>
    <n v="900"/>
    <x v="40"/>
    <n v="2"/>
    <x v="2"/>
    <x v="1"/>
  </r>
  <r>
    <x v="108"/>
    <s v="KSh 169"/>
    <s v="KSh 320"/>
    <n v="0.47"/>
    <x v="10"/>
    <m/>
    <n v="169"/>
    <n v="320"/>
    <x v="102"/>
    <n v="0"/>
    <x v="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KSh 950"/>
    <s v="KSh 1,525"/>
    <n v="0.38"/>
    <x v="0"/>
    <n v="-2"/>
    <n v="950"/>
    <n v="1525"/>
    <n v="575"/>
    <n v="4.5"/>
    <x v="0"/>
    <x v="0"/>
    <x v="0"/>
  </r>
  <r>
    <x v="1"/>
    <s v="KSh 527"/>
    <s v="KSh 999"/>
    <n v="0.47"/>
    <x v="1"/>
    <n v="-14"/>
    <n v="527"/>
    <n v="999"/>
    <n v="472"/>
    <n v="4.0999999999999996"/>
    <x v="1"/>
    <x v="1"/>
    <x v="1"/>
  </r>
  <r>
    <x v="2"/>
    <s v="KSh 2,199"/>
    <s v="KSh 2,923"/>
    <n v="0.25"/>
    <x v="2"/>
    <n v="-24"/>
    <n v="2199"/>
    <n v="2923"/>
    <n v="724"/>
    <n v="4.5999999999999996"/>
    <x v="0"/>
    <x v="0"/>
    <x v="2"/>
  </r>
  <r>
    <x v="3"/>
    <s v="KSh 1,580"/>
    <s v="KSh 2,499"/>
    <n v="0.37"/>
    <x v="3"/>
    <n v="-7"/>
    <n v="1580"/>
    <n v="2499"/>
    <n v="919"/>
    <n v="4.7"/>
    <x v="0"/>
    <x v="0"/>
    <x v="3"/>
  </r>
  <r>
    <x v="4"/>
    <s v="KSh 1,740"/>
    <s v="KSh 2,356"/>
    <n v="0.26"/>
    <x v="4"/>
    <n v="-5"/>
    <n v="1740"/>
    <n v="2356"/>
    <n v="616"/>
    <n v="4.8"/>
    <x v="0"/>
    <x v="0"/>
    <x v="4"/>
  </r>
  <r>
    <x v="5"/>
    <s v="KSh 2,999"/>
    <s v="KSh 3,290"/>
    <n v="0.09"/>
    <x v="5"/>
    <n v="-15"/>
    <n v="2999"/>
    <n v="3290"/>
    <n v="291"/>
    <n v="4"/>
    <x v="1"/>
    <x v="2"/>
    <x v="5"/>
  </r>
  <r>
    <x v="6"/>
    <s v="KSh 2,319"/>
    <s v="KSh 3,032"/>
    <n v="0.24"/>
    <x v="2"/>
    <n v="-55"/>
    <n v="2319"/>
    <n v="3032"/>
    <n v="713"/>
    <n v="4.5999999999999996"/>
    <x v="0"/>
    <x v="0"/>
    <x v="6"/>
  </r>
  <r>
    <x v="7"/>
    <s v="KSh 988"/>
    <s v="KSh 1,580"/>
    <n v="0.37"/>
    <x v="5"/>
    <n v="-2"/>
    <n v="988"/>
    <n v="1580"/>
    <n v="592"/>
    <n v="4"/>
    <x v="1"/>
    <x v="0"/>
    <x v="0"/>
  </r>
  <r>
    <x v="8"/>
    <s v="KSh 1,274"/>
    <s v="KSh 2,800"/>
    <n v="0.55000000000000004"/>
    <x v="4"/>
    <n v="-5"/>
    <n v="1274"/>
    <n v="2800"/>
    <n v="1526"/>
    <n v="4.8"/>
    <x v="0"/>
    <x v="1"/>
    <x v="4"/>
  </r>
  <r>
    <x v="9"/>
    <s v="KSh 1,600"/>
    <s v="KSh 2,929"/>
    <n v="0.45"/>
    <x v="6"/>
    <n v="-5"/>
    <n v="1600"/>
    <n v="2929"/>
    <n v="1329"/>
    <n v="3.8"/>
    <x v="1"/>
    <x v="1"/>
    <x v="4"/>
  </r>
  <r>
    <x v="10"/>
    <s v="KSh 799"/>
    <s v="KSh 999"/>
    <n v="0.2"/>
    <x v="1"/>
    <n v="-12"/>
    <n v="799"/>
    <n v="999"/>
    <n v="200"/>
    <n v="4.0999999999999996"/>
    <x v="1"/>
    <x v="0"/>
    <x v="7"/>
  </r>
  <r>
    <x v="11"/>
    <s v="KSh 990"/>
    <s v="KSh 1,500"/>
    <n v="0.34"/>
    <x v="3"/>
    <n v="-39"/>
    <n v="990"/>
    <n v="1500"/>
    <n v="510"/>
    <n v="4.7"/>
    <x v="0"/>
    <x v="0"/>
    <x v="8"/>
  </r>
  <r>
    <x v="12"/>
    <s v="KSh 552"/>
    <s v="KSh 1,035"/>
    <n v="0.47"/>
    <x v="4"/>
    <n v="-12"/>
    <n v="552"/>
    <n v="1035"/>
    <n v="483"/>
    <n v="4.8"/>
    <x v="0"/>
    <x v="1"/>
    <x v="7"/>
  </r>
  <r>
    <x v="13"/>
    <s v="KSh 501"/>
    <s v="KSh 860"/>
    <n v="0.42"/>
    <x v="0"/>
    <n v="-6"/>
    <n v="501"/>
    <n v="860"/>
    <n v="359"/>
    <n v="4.5"/>
    <x v="0"/>
    <x v="0"/>
    <x v="9"/>
  </r>
  <r>
    <x v="14"/>
    <s v="KSh 1,680"/>
    <s v="KSh 2,499"/>
    <n v="0.33"/>
    <x v="7"/>
    <n v="-9"/>
    <n v="1680"/>
    <n v="2499"/>
    <n v="819"/>
    <n v="4.2"/>
    <x v="1"/>
    <x v="0"/>
    <x v="10"/>
  </r>
  <r>
    <x v="15"/>
    <s v="KSh 332"/>
    <s v="KSh 684"/>
    <n v="0.51"/>
    <x v="8"/>
    <n v="-2"/>
    <n v="332"/>
    <n v="684"/>
    <n v="352"/>
    <n v="5"/>
    <x v="0"/>
    <x v="1"/>
    <x v="0"/>
  </r>
  <r>
    <x v="16"/>
    <s v="KSh 195"/>
    <s v="KSh 360"/>
    <n v="0.46"/>
    <x v="8"/>
    <n v="-2"/>
    <n v="195"/>
    <n v="360"/>
    <n v="165"/>
    <n v="5"/>
    <x v="0"/>
    <x v="1"/>
    <x v="0"/>
  </r>
  <r>
    <x v="17"/>
    <s v="KSh 2,025"/>
    <s v="KSh 3,971"/>
    <n v="0.49"/>
    <x v="8"/>
    <n v="-3"/>
    <n v="2025"/>
    <n v="3971"/>
    <n v="1946"/>
    <n v="5"/>
    <x v="0"/>
    <x v="1"/>
    <x v="11"/>
  </r>
  <r>
    <x v="18"/>
    <s v="KSh 2,999"/>
    <s v="KSh 3,699"/>
    <n v="0.19"/>
    <x v="2"/>
    <n v="-5"/>
    <n v="2999"/>
    <n v="3699"/>
    <n v="700"/>
    <n v="4.5999999999999996"/>
    <x v="0"/>
    <x v="2"/>
    <x v="4"/>
  </r>
  <r>
    <x v="19"/>
    <s v="KSh 998"/>
    <s v="KSh 1,966"/>
    <n v="0.49"/>
    <x v="2"/>
    <n v="-44"/>
    <n v="998"/>
    <n v="1966"/>
    <n v="968"/>
    <n v="4.5999999999999996"/>
    <x v="0"/>
    <x v="1"/>
    <x v="12"/>
  </r>
  <r>
    <x v="20"/>
    <s v="KSh 38"/>
    <s v="KSh 80"/>
    <n v="0.53"/>
    <x v="9"/>
    <n v="-13"/>
    <n v="38"/>
    <n v="80"/>
    <n v="42"/>
    <n v="3.3"/>
    <x v="1"/>
    <x v="1"/>
    <x v="13"/>
  </r>
  <r>
    <x v="21"/>
    <s v="KSh 1,860"/>
    <s v="KSh 3,220"/>
    <n v="0.42"/>
    <x v="10"/>
    <m/>
    <n v="1860"/>
    <n v="3220"/>
    <n v="1360"/>
    <n v="0"/>
    <x v="2"/>
    <x v="0"/>
    <x v="14"/>
  </r>
  <r>
    <x v="22"/>
    <s v="KSh 880"/>
    <s v="KSh 1,350"/>
    <n v="0.35"/>
    <x v="5"/>
    <n v="-6"/>
    <n v="880"/>
    <n v="1350"/>
    <n v="470"/>
    <n v="4"/>
    <x v="1"/>
    <x v="0"/>
    <x v="9"/>
  </r>
  <r>
    <x v="23"/>
    <s v="KSh 1,650"/>
    <s v="KSh 2,150"/>
    <n v="0.23"/>
    <x v="11"/>
    <n v="-14"/>
    <n v="1650"/>
    <n v="2150"/>
    <n v="500"/>
    <n v="4.4000000000000004"/>
    <x v="1"/>
    <x v="0"/>
    <x v="1"/>
  </r>
  <r>
    <x v="24"/>
    <s v="KSh 2,048"/>
    <s v="KSh 4,500"/>
    <n v="0.54"/>
    <x v="12"/>
    <n v="-7"/>
    <n v="2048"/>
    <n v="4500"/>
    <n v="2452"/>
    <n v="4.3"/>
    <x v="1"/>
    <x v="1"/>
    <x v="3"/>
  </r>
  <r>
    <x v="25"/>
    <s v="KSh 420"/>
    <s v="KSh 647"/>
    <n v="0.35"/>
    <x v="2"/>
    <n v="-49"/>
    <n v="420"/>
    <n v="647"/>
    <n v="227"/>
    <n v="4.5999999999999996"/>
    <x v="0"/>
    <x v="0"/>
    <x v="15"/>
  </r>
  <r>
    <x v="26"/>
    <s v="KSh 2,880"/>
    <s v="KSh 3,520"/>
    <n v="0.18"/>
    <x v="6"/>
    <n v="-12"/>
    <n v="2880"/>
    <n v="3520"/>
    <n v="640"/>
    <n v="3.8"/>
    <x v="1"/>
    <x v="2"/>
    <x v="7"/>
  </r>
  <r>
    <x v="27"/>
    <s v="KSh 1,350"/>
    <s v="KSh 1,990"/>
    <n v="0.32"/>
    <x v="6"/>
    <n v="-13"/>
    <n v="1350"/>
    <n v="1990"/>
    <n v="640"/>
    <n v="3.8"/>
    <x v="1"/>
    <x v="0"/>
    <x v="13"/>
  </r>
  <r>
    <x v="28"/>
    <s v="KSh 1,758"/>
    <s v="KSh 2,499"/>
    <n v="0.3"/>
    <x v="1"/>
    <n v="-20"/>
    <n v="1758"/>
    <n v="2499"/>
    <n v="741"/>
    <n v="4.0999999999999996"/>
    <x v="1"/>
    <x v="0"/>
    <x v="16"/>
  </r>
  <r>
    <x v="29"/>
    <s v="KSh 2,200"/>
    <s v="KSh 4,080"/>
    <n v="0.46"/>
    <x v="10"/>
    <m/>
    <n v="2200"/>
    <n v="4080"/>
    <n v="1880"/>
    <n v="0"/>
    <x v="2"/>
    <x v="1"/>
    <x v="14"/>
  </r>
  <r>
    <x v="30"/>
    <s v="KSh 185"/>
    <s v="KSh 382"/>
    <n v="0.52"/>
    <x v="12"/>
    <n v="-9"/>
    <n v="185"/>
    <n v="382"/>
    <n v="197"/>
    <n v="4.3"/>
    <x v="1"/>
    <x v="1"/>
    <x v="10"/>
  </r>
  <r>
    <x v="31"/>
    <s v="KSh 980"/>
    <s v="KSh 1,490"/>
    <n v="0.34"/>
    <x v="3"/>
    <n v="-12"/>
    <n v="980"/>
    <n v="1490"/>
    <n v="510"/>
    <n v="4.7"/>
    <x v="0"/>
    <x v="0"/>
    <x v="7"/>
  </r>
  <r>
    <x v="32"/>
    <s v="KSh 1,820"/>
    <s v="KSh 3,490"/>
    <n v="0.48"/>
    <x v="12"/>
    <n v="-9"/>
    <n v="1820"/>
    <n v="3490"/>
    <n v="1670"/>
    <n v="4.3"/>
    <x v="1"/>
    <x v="1"/>
    <x v="10"/>
  </r>
  <r>
    <x v="33"/>
    <s v="KSh 1,940"/>
    <s v="KSh 2,650"/>
    <n v="0.27"/>
    <x v="3"/>
    <n v="-20"/>
    <n v="1940"/>
    <n v="2650"/>
    <n v="710"/>
    <n v="4.7"/>
    <x v="0"/>
    <x v="0"/>
    <x v="16"/>
  </r>
  <r>
    <x v="34"/>
    <s v="KSh 1,980"/>
    <s v="KSh 2,699"/>
    <n v="0.27"/>
    <x v="0"/>
    <n v="-32"/>
    <n v="1980"/>
    <n v="2699"/>
    <n v="719"/>
    <n v="4.5"/>
    <x v="0"/>
    <x v="0"/>
    <x v="17"/>
  </r>
  <r>
    <x v="35"/>
    <s v="KSh 1,620"/>
    <s v="KSh 2,690"/>
    <n v="0.4"/>
    <x v="8"/>
    <n v="-1"/>
    <n v="1620"/>
    <n v="2690"/>
    <n v="1070"/>
    <n v="5"/>
    <x v="0"/>
    <x v="0"/>
    <x v="18"/>
  </r>
  <r>
    <x v="36"/>
    <s v="KSh 171"/>
    <s v="KSh 360"/>
    <n v="0.53"/>
    <x v="8"/>
    <n v="-2"/>
    <n v="171"/>
    <n v="360"/>
    <n v="189"/>
    <n v="5"/>
    <x v="0"/>
    <x v="1"/>
    <x v="0"/>
  </r>
  <r>
    <x v="37"/>
    <s v="KSh 389"/>
    <s v="KSh 656"/>
    <n v="0.41"/>
    <x v="12"/>
    <n v="-36"/>
    <n v="389"/>
    <n v="656"/>
    <n v="267"/>
    <n v="4.3"/>
    <x v="1"/>
    <x v="0"/>
    <x v="19"/>
  </r>
  <r>
    <x v="38"/>
    <s v="KSh 1,620 - KSh 1,980"/>
    <s v="KSh 2,200 - KSh 3,200"/>
    <n v="0.38"/>
    <x v="0"/>
    <n v="-2"/>
    <n v="1620"/>
    <n v="2200"/>
    <n v="580"/>
    <n v="4.5"/>
    <x v="0"/>
    <x v="0"/>
    <x v="0"/>
  </r>
  <r>
    <x v="39"/>
    <s v="KSh 2,750"/>
    <s v="KSh 4,471"/>
    <n v="0.38"/>
    <x v="10"/>
    <m/>
    <n v="2750"/>
    <n v="4471"/>
    <n v="1721"/>
    <n v="0"/>
    <x v="2"/>
    <x v="0"/>
    <x v="14"/>
  </r>
  <r>
    <x v="40"/>
    <s v="KSh 475"/>
    <s v="KSh 931"/>
    <n v="0.49"/>
    <x v="10"/>
    <m/>
    <n v="475"/>
    <n v="931"/>
    <n v="456"/>
    <n v="0"/>
    <x v="2"/>
    <x v="1"/>
    <x v="14"/>
  </r>
  <r>
    <x v="41"/>
    <s v="KSh 238"/>
    <s v="KSh 476"/>
    <n v="0.5"/>
    <x v="10"/>
    <m/>
    <n v="238"/>
    <n v="476"/>
    <n v="238"/>
    <n v="0"/>
    <x v="2"/>
    <x v="1"/>
    <x v="14"/>
  </r>
  <r>
    <x v="42"/>
    <s v="KSh 610"/>
    <s v="KSh 1,060"/>
    <n v="0.42"/>
    <x v="10"/>
    <m/>
    <n v="610"/>
    <n v="1060"/>
    <n v="450"/>
    <n v="0"/>
    <x v="2"/>
    <x v="0"/>
    <x v="14"/>
  </r>
  <r>
    <x v="43"/>
    <s v="KSh 2,132"/>
    <s v="KSh 2,169"/>
    <n v="0.02"/>
    <x v="10"/>
    <m/>
    <n v="2132"/>
    <n v="2169"/>
    <n v="37"/>
    <n v="0"/>
    <x v="2"/>
    <x v="2"/>
    <x v="14"/>
  </r>
  <r>
    <x v="44"/>
    <s v="KSh 999"/>
    <s v="KSh 2,000"/>
    <n v="0.5"/>
    <x v="10"/>
    <m/>
    <n v="999"/>
    <n v="2000"/>
    <n v="1001"/>
    <n v="0"/>
    <x v="2"/>
    <x v="1"/>
    <x v="14"/>
  </r>
  <r>
    <x v="45"/>
    <s v="KSh 1,190"/>
    <s v="KSh 1,785"/>
    <n v="0.33"/>
    <x v="10"/>
    <m/>
    <n v="1190"/>
    <n v="1785"/>
    <n v="595"/>
    <n v="0"/>
    <x v="2"/>
    <x v="0"/>
    <x v="14"/>
  </r>
  <r>
    <x v="46"/>
    <s v="KSh 671"/>
    <s v="KSh 1,316"/>
    <n v="0.49"/>
    <x v="10"/>
    <m/>
    <n v="671"/>
    <n v="1316"/>
    <n v="645"/>
    <n v="0"/>
    <x v="2"/>
    <x v="1"/>
    <x v="14"/>
  </r>
  <r>
    <x v="47"/>
    <s v="KSh 1,200"/>
    <s v="KSh 1,950"/>
    <n v="0.38"/>
    <x v="10"/>
    <m/>
    <n v="1200"/>
    <n v="1950"/>
    <n v="750"/>
    <n v="0"/>
    <x v="2"/>
    <x v="0"/>
    <x v="14"/>
  </r>
  <r>
    <x v="48"/>
    <s v="KSh 199"/>
    <s v="KSh 504"/>
    <n v="0.61"/>
    <x v="10"/>
    <m/>
    <n v="199"/>
    <n v="504"/>
    <n v="305"/>
    <n v="0"/>
    <x v="2"/>
    <x v="1"/>
    <x v="14"/>
  </r>
  <r>
    <x v="49"/>
    <s v="KSh 299"/>
    <s v="KSh 600"/>
    <n v="0.5"/>
    <x v="10"/>
    <m/>
    <n v="299"/>
    <n v="600"/>
    <n v="301"/>
    <n v="0"/>
    <x v="2"/>
    <x v="1"/>
    <x v="14"/>
  </r>
  <r>
    <x v="50"/>
    <s v="KSh 1,660"/>
    <s v="KSh 1,699"/>
    <n v="0.02"/>
    <x v="10"/>
    <m/>
    <n v="1660"/>
    <n v="1699"/>
    <n v="39"/>
    <n v="0"/>
    <x v="2"/>
    <x v="2"/>
    <x v="14"/>
  </r>
  <r>
    <x v="51"/>
    <s v="KSh 299"/>
    <s v="KSh 384"/>
    <n v="0.22"/>
    <x v="10"/>
    <m/>
    <n v="299"/>
    <n v="384"/>
    <n v="85"/>
    <n v="0"/>
    <x v="2"/>
    <x v="0"/>
    <x v="14"/>
  </r>
  <r>
    <x v="52"/>
    <s v="KSh 1,459"/>
    <s v="KSh 1,499"/>
    <n v="0.03"/>
    <x v="10"/>
    <m/>
    <n v="1459"/>
    <n v="1499"/>
    <n v="40"/>
    <n v="0"/>
    <x v="2"/>
    <x v="2"/>
    <x v="14"/>
  </r>
  <r>
    <x v="53"/>
    <s v="KSh 799"/>
    <s v="KSh 1,343"/>
    <n v="0.41"/>
    <x v="10"/>
    <m/>
    <n v="799"/>
    <n v="1343"/>
    <n v="544"/>
    <n v="0"/>
    <x v="2"/>
    <x v="0"/>
    <x v="14"/>
  </r>
  <r>
    <x v="54"/>
    <s v="KSh 499"/>
    <s v="KSh 900"/>
    <n v="0.45"/>
    <x v="10"/>
    <m/>
    <n v="499"/>
    <n v="900"/>
    <n v="401"/>
    <n v="0"/>
    <x v="2"/>
    <x v="1"/>
    <x v="14"/>
  </r>
  <r>
    <x v="55"/>
    <s v="KSh 699"/>
    <s v="KSh 1,343"/>
    <n v="0.48"/>
    <x v="10"/>
    <m/>
    <n v="699"/>
    <n v="1343"/>
    <n v="644"/>
    <n v="0"/>
    <x v="2"/>
    <x v="1"/>
    <x v="14"/>
  </r>
  <r>
    <x v="56"/>
    <s v="KSh 799"/>
    <s v="KSh 1,567"/>
    <n v="0.49"/>
    <x v="10"/>
    <m/>
    <n v="799"/>
    <n v="1567"/>
    <n v="768"/>
    <n v="0"/>
    <x v="2"/>
    <x v="1"/>
    <x v="14"/>
  </r>
  <r>
    <x v="57"/>
    <s v="KSh 2,799"/>
    <s v="KSh 3,810"/>
    <n v="0.27"/>
    <x v="10"/>
    <m/>
    <n v="2799"/>
    <n v="3810"/>
    <n v="1011"/>
    <n v="0"/>
    <x v="2"/>
    <x v="0"/>
    <x v="14"/>
  </r>
  <r>
    <x v="54"/>
    <s v="KSh 399"/>
    <s v="KSh 896"/>
    <n v="0.55000000000000004"/>
    <x v="10"/>
    <m/>
    <n v="399"/>
    <n v="896"/>
    <n v="497"/>
    <n v="0"/>
    <x v="2"/>
    <x v="1"/>
    <x v="14"/>
  </r>
  <r>
    <x v="58"/>
    <s v="KSh 2,170"/>
    <s v="KSh 2,500"/>
    <n v="0.13"/>
    <x v="13"/>
    <n v="-6"/>
    <n v="2170"/>
    <n v="2500"/>
    <n v="330"/>
    <n v="2.5"/>
    <x v="2"/>
    <x v="2"/>
    <x v="9"/>
  </r>
  <r>
    <x v="59"/>
    <s v="KSh 458"/>
    <s v="KSh 986"/>
    <n v="0.54"/>
    <x v="14"/>
    <n v="-10"/>
    <n v="458"/>
    <n v="986"/>
    <n v="528"/>
    <n v="3"/>
    <x v="1"/>
    <x v="1"/>
    <x v="20"/>
  </r>
  <r>
    <x v="60"/>
    <s v="KSh 2,115"/>
    <s v="KSh 4,700"/>
    <n v="0.55000000000000004"/>
    <x v="15"/>
    <n v="-13"/>
    <n v="2115"/>
    <n v="4700"/>
    <n v="2585"/>
    <n v="2.1"/>
    <x v="2"/>
    <x v="1"/>
    <x v="13"/>
  </r>
  <r>
    <x v="61"/>
    <s v="KSh 445"/>
    <s v="KSh 873"/>
    <n v="0.49"/>
    <x v="16"/>
    <n v="-69"/>
    <n v="445"/>
    <n v="873"/>
    <n v="428"/>
    <n v="2.8"/>
    <x v="2"/>
    <x v="1"/>
    <x v="21"/>
  </r>
  <r>
    <x v="62"/>
    <s v="KSh 325"/>
    <s v="KSh 680"/>
    <n v="0.52"/>
    <x v="17"/>
    <n v="-15"/>
    <n v="325"/>
    <n v="680"/>
    <n v="355"/>
    <n v="2.7"/>
    <x v="2"/>
    <x v="1"/>
    <x v="5"/>
  </r>
  <r>
    <x v="63"/>
    <s v="KSh 1,220"/>
    <s v="KSh 1,555"/>
    <n v="0.22"/>
    <x v="18"/>
    <n v="-16"/>
    <n v="1220"/>
    <n v="1555"/>
    <n v="335"/>
    <n v="2.9"/>
    <x v="2"/>
    <x v="0"/>
    <x v="22"/>
  </r>
  <r>
    <x v="64"/>
    <s v="KSh 990"/>
    <s v="KSh 1,814"/>
    <n v="0.45"/>
    <x v="19"/>
    <n v="-6"/>
    <n v="990"/>
    <n v="1814"/>
    <n v="824"/>
    <n v="2.2000000000000002"/>
    <x v="2"/>
    <x v="1"/>
    <x v="9"/>
  </r>
  <r>
    <x v="65"/>
    <s v="KSh 1,000"/>
    <s v="KSh 2,000"/>
    <n v="0.5"/>
    <x v="20"/>
    <n v="-7"/>
    <n v="1000"/>
    <n v="2000"/>
    <n v="1000"/>
    <n v="2.2999999999999998"/>
    <x v="2"/>
    <x v="1"/>
    <x v="3"/>
  </r>
  <r>
    <x v="66"/>
    <s v="KSh 3,750"/>
    <s v="KSh 6,143"/>
    <n v="0.39"/>
    <x v="14"/>
    <n v="-5"/>
    <n v="3750"/>
    <n v="6143"/>
    <n v="2393"/>
    <n v="3"/>
    <x v="1"/>
    <x v="0"/>
    <x v="4"/>
  </r>
  <r>
    <x v="67"/>
    <s v="KSh 382"/>
    <s v="KSh 700"/>
    <n v="0.45"/>
    <x v="21"/>
    <n v="-17"/>
    <n v="382"/>
    <n v="700"/>
    <n v="318"/>
    <n v="2.6"/>
    <x v="2"/>
    <x v="1"/>
    <x v="23"/>
  </r>
  <r>
    <x v="68"/>
    <s v="KSh 2,300"/>
    <s v="KSh 3,240"/>
    <n v="0.28999999999999998"/>
    <x v="14"/>
    <n v="-5"/>
    <n v="2300"/>
    <n v="3240"/>
    <n v="940"/>
    <n v="3"/>
    <x v="1"/>
    <x v="0"/>
    <x v="4"/>
  </r>
  <r>
    <x v="69"/>
    <s v="KSh 345"/>
    <s v="KSh 602"/>
    <n v="0.43"/>
    <x v="20"/>
    <n v="-6"/>
    <n v="345"/>
    <n v="602"/>
    <n v="257"/>
    <n v="2.2999999999999998"/>
    <x v="2"/>
    <x v="0"/>
    <x v="9"/>
  </r>
  <r>
    <x v="70"/>
    <s v="KSh 509"/>
    <s v="KSh 899"/>
    <n v="0.43"/>
    <x v="14"/>
    <n v="-5"/>
    <n v="509"/>
    <n v="899"/>
    <n v="390"/>
    <n v="3"/>
    <x v="1"/>
    <x v="0"/>
    <x v="4"/>
  </r>
  <r>
    <x v="71"/>
    <s v="KSh 968"/>
    <s v="KSh 1,814"/>
    <n v="0.47"/>
    <x v="19"/>
    <n v="-6"/>
    <n v="968"/>
    <n v="1814"/>
    <n v="846"/>
    <n v="2.2000000000000002"/>
    <x v="2"/>
    <x v="1"/>
    <x v="9"/>
  </r>
  <r>
    <x v="72"/>
    <s v="KSh 1,570"/>
    <s v="KSh 2,988"/>
    <n v="0.47"/>
    <x v="15"/>
    <n v="-7"/>
    <n v="1570"/>
    <n v="2988"/>
    <n v="1418"/>
    <n v="2.1"/>
    <x v="2"/>
    <x v="1"/>
    <x v="3"/>
  </r>
  <r>
    <x v="73"/>
    <s v="KSh 790"/>
    <s v="KSh 1,485"/>
    <n v="0.47"/>
    <x v="10"/>
    <m/>
    <n v="790"/>
    <n v="1485"/>
    <n v="695"/>
    <n v="0"/>
    <x v="2"/>
    <x v="1"/>
    <x v="14"/>
  </r>
  <r>
    <x v="74"/>
    <s v="KSh 690"/>
    <s v="KSh 1,200"/>
    <n v="0.43"/>
    <x v="10"/>
    <m/>
    <n v="690"/>
    <n v="1200"/>
    <n v="510"/>
    <n v="0"/>
    <x v="2"/>
    <x v="0"/>
    <x v="14"/>
  </r>
  <r>
    <x v="75"/>
    <s v="KSh 1,732"/>
    <s v="KSh 1,799"/>
    <n v="0.04"/>
    <x v="10"/>
    <m/>
    <n v="1732"/>
    <n v="1799"/>
    <n v="67"/>
    <n v="0"/>
    <x v="2"/>
    <x v="2"/>
    <x v="14"/>
  </r>
  <r>
    <x v="76"/>
    <s v="KSh 230"/>
    <s v="KSh 450"/>
    <n v="0.49"/>
    <x v="10"/>
    <m/>
    <n v="230"/>
    <n v="450"/>
    <n v="220"/>
    <n v="0"/>
    <x v="2"/>
    <x v="1"/>
    <x v="14"/>
  </r>
  <r>
    <x v="77"/>
    <s v="KSh 1,189"/>
    <s v="KSh 2,199"/>
    <n v="0.46"/>
    <x v="14"/>
    <n v="-1"/>
    <n v="1189"/>
    <n v="2199"/>
    <n v="1010"/>
    <n v="3"/>
    <x v="1"/>
    <x v="1"/>
    <x v="18"/>
  </r>
  <r>
    <x v="78"/>
    <s v="KSh 979"/>
    <s v="KSh 1,920"/>
    <n v="0.49"/>
    <x v="8"/>
    <n v="-1"/>
    <n v="979"/>
    <n v="1920"/>
    <n v="941"/>
    <n v="5"/>
    <x v="0"/>
    <x v="1"/>
    <x v="18"/>
  </r>
  <r>
    <x v="79"/>
    <s v="KSh 1,460"/>
    <s v="KSh 2,290"/>
    <n v="0.36"/>
    <x v="10"/>
    <m/>
    <n v="1460"/>
    <n v="2290"/>
    <n v="830"/>
    <n v="0"/>
    <x v="2"/>
    <x v="0"/>
    <x v="14"/>
  </r>
  <r>
    <x v="80"/>
    <s v="KSh 1,666"/>
    <s v="KSh 1,699"/>
    <n v="0.02"/>
    <x v="10"/>
    <m/>
    <n v="1666"/>
    <n v="1699"/>
    <n v="33"/>
    <n v="0"/>
    <x v="2"/>
    <x v="2"/>
    <x v="14"/>
  </r>
  <r>
    <x v="81"/>
    <s v="KSh 330"/>
    <s v="KSh 647"/>
    <n v="0.49"/>
    <x v="5"/>
    <n v="-1"/>
    <n v="330"/>
    <n v="647"/>
    <n v="317"/>
    <n v="4"/>
    <x v="1"/>
    <x v="1"/>
    <x v="18"/>
  </r>
  <r>
    <x v="48"/>
    <s v="KSh 176"/>
    <s v="KSh 345"/>
    <n v="0.49"/>
    <x v="10"/>
    <m/>
    <n v="176"/>
    <n v="345"/>
    <n v="169"/>
    <n v="0"/>
    <x v="2"/>
    <x v="1"/>
    <x v="14"/>
  </r>
  <r>
    <x v="82"/>
    <s v="KSh 1,466"/>
    <s v="KSh 1,699"/>
    <n v="0.14000000000000001"/>
    <x v="10"/>
    <m/>
    <n v="1466"/>
    <n v="1699"/>
    <n v="233"/>
    <n v="0"/>
    <x v="2"/>
    <x v="2"/>
    <x v="14"/>
  </r>
  <r>
    <x v="83"/>
    <s v="KSh 274"/>
    <s v="KSh 537"/>
    <n v="0.49"/>
    <x v="10"/>
    <m/>
    <n v="274"/>
    <n v="537"/>
    <n v="263"/>
    <n v="0"/>
    <x v="2"/>
    <x v="1"/>
    <x v="14"/>
  </r>
  <r>
    <x v="84"/>
    <s v="KSh 799"/>
    <s v="KSh 900"/>
    <n v="0.11"/>
    <x v="10"/>
    <m/>
    <n v="799"/>
    <n v="900"/>
    <n v="101"/>
    <n v="0"/>
    <x v="2"/>
    <x v="2"/>
    <x v="14"/>
  </r>
  <r>
    <x v="56"/>
    <s v="KSh 657"/>
    <s v="KSh 1,288"/>
    <n v="0.49"/>
    <x v="10"/>
    <m/>
    <n v="657"/>
    <n v="1288"/>
    <n v="631"/>
    <n v="0"/>
    <x v="2"/>
    <x v="1"/>
    <x v="14"/>
  </r>
  <r>
    <x v="85"/>
    <s v="KSh 1,468"/>
    <s v="KSh 1,699"/>
    <n v="0.14000000000000001"/>
    <x v="10"/>
    <m/>
    <n v="1468"/>
    <n v="1699"/>
    <n v="231"/>
    <n v="0"/>
    <x v="2"/>
    <x v="2"/>
    <x v="14"/>
  </r>
  <r>
    <x v="86"/>
    <s v="KSh 630"/>
    <s v="KSh 1,100"/>
    <n v="0.43"/>
    <x v="10"/>
    <m/>
    <n v="630"/>
    <n v="1100"/>
    <n v="470"/>
    <n v="0"/>
    <x v="2"/>
    <x v="0"/>
    <x v="14"/>
  </r>
  <r>
    <x v="87"/>
    <s v="KSh 850"/>
    <s v="KSh 1,700"/>
    <n v="0.5"/>
    <x v="10"/>
    <m/>
    <n v="850"/>
    <n v="1700"/>
    <n v="850"/>
    <n v="0"/>
    <x v="2"/>
    <x v="1"/>
    <x v="14"/>
  </r>
  <r>
    <x v="88"/>
    <s v="KSh 1,300"/>
    <s v="KSh 2,500"/>
    <n v="0.48"/>
    <x v="10"/>
    <m/>
    <n v="1300"/>
    <n v="2500"/>
    <n v="1200"/>
    <n v="0"/>
    <x v="2"/>
    <x v="1"/>
    <x v="14"/>
  </r>
  <r>
    <x v="89"/>
    <s v="KSh 105"/>
    <s v="KSh 200"/>
    <n v="0.48"/>
    <x v="10"/>
    <m/>
    <n v="105"/>
    <n v="200"/>
    <n v="95"/>
    <n v="0"/>
    <x v="2"/>
    <x v="1"/>
    <x v="14"/>
  </r>
  <r>
    <x v="90"/>
    <s v="KSh 899"/>
    <s v="KSh 1,699"/>
    <n v="0.47"/>
    <x v="10"/>
    <m/>
    <n v="899"/>
    <n v="1699"/>
    <n v="800"/>
    <n v="0"/>
    <x v="2"/>
    <x v="1"/>
    <x v="14"/>
  </r>
  <r>
    <x v="91"/>
    <s v="KSh 1,200"/>
    <s v="KSh 2,400"/>
    <n v="0.5"/>
    <x v="10"/>
    <m/>
    <n v="1200"/>
    <n v="2400"/>
    <n v="1200"/>
    <n v="0"/>
    <x v="2"/>
    <x v="1"/>
    <x v="14"/>
  </r>
  <r>
    <x v="92"/>
    <s v="KSh 1,526"/>
    <s v="KSh 1,660"/>
    <n v="0.08"/>
    <x v="10"/>
    <m/>
    <n v="1526"/>
    <n v="1660"/>
    <n v="134"/>
    <n v="0"/>
    <x v="2"/>
    <x v="2"/>
    <x v="14"/>
  </r>
  <r>
    <x v="93"/>
    <s v="KSh 1,462"/>
    <s v="KSh 1,499"/>
    <n v="0.02"/>
    <x v="10"/>
    <m/>
    <n v="1462"/>
    <n v="1499"/>
    <n v="37"/>
    <n v="0"/>
    <x v="2"/>
    <x v="2"/>
    <x v="14"/>
  </r>
  <r>
    <x v="94"/>
    <s v="KSh 248"/>
    <s v="KSh 486"/>
    <n v="0.49"/>
    <x v="10"/>
    <m/>
    <n v="248"/>
    <n v="486"/>
    <n v="238"/>
    <n v="0"/>
    <x v="2"/>
    <x v="1"/>
    <x v="14"/>
  </r>
  <r>
    <x v="95"/>
    <s v="KSh 3,546"/>
    <s v="KSh 3,699"/>
    <n v="0.04"/>
    <x v="10"/>
    <m/>
    <n v="3546"/>
    <n v="3699"/>
    <n v="153"/>
    <n v="0"/>
    <x v="2"/>
    <x v="2"/>
    <x v="14"/>
  </r>
  <r>
    <x v="96"/>
    <s v="KSh 525"/>
    <s v="KSh 1,029"/>
    <n v="0.49"/>
    <x v="10"/>
    <m/>
    <n v="525"/>
    <n v="1029"/>
    <n v="504"/>
    <n v="0"/>
    <x v="2"/>
    <x v="1"/>
    <x v="14"/>
  </r>
  <r>
    <x v="97"/>
    <s v="KSh 1,080"/>
    <s v="KSh 1,874"/>
    <n v="0.42"/>
    <x v="10"/>
    <m/>
    <n v="1080"/>
    <n v="1874"/>
    <n v="794"/>
    <n v="0"/>
    <x v="2"/>
    <x v="0"/>
    <x v="14"/>
  </r>
  <r>
    <x v="98"/>
    <s v="KSh 3,640"/>
    <s v="KSh 4,588"/>
    <n v="0.21"/>
    <x v="8"/>
    <n v="-1"/>
    <n v="3640"/>
    <n v="4588"/>
    <n v="948"/>
    <n v="5"/>
    <x v="0"/>
    <x v="0"/>
    <x v="18"/>
  </r>
  <r>
    <x v="99"/>
    <s v="KSh 1,420"/>
    <s v="KSh 2,420"/>
    <n v="0.41"/>
    <x v="10"/>
    <m/>
    <n v="1420"/>
    <n v="2420"/>
    <n v="1000"/>
    <n v="0"/>
    <x v="2"/>
    <x v="0"/>
    <x v="14"/>
  </r>
  <r>
    <x v="100"/>
    <s v="KSh 1,875"/>
    <s v="KSh 1,899"/>
    <n v="0.01"/>
    <x v="10"/>
    <m/>
    <n v="1875"/>
    <n v="1899"/>
    <n v="24"/>
    <n v="0"/>
    <x v="2"/>
    <x v="2"/>
    <x v="14"/>
  </r>
  <r>
    <x v="101"/>
    <s v="KSh 198"/>
    <s v="KSh 260"/>
    <n v="0.24"/>
    <x v="10"/>
    <m/>
    <n v="198"/>
    <n v="260"/>
    <n v="62"/>
    <n v="0"/>
    <x v="2"/>
    <x v="0"/>
    <x v="14"/>
  </r>
  <r>
    <x v="102"/>
    <s v="KSh 1,150"/>
    <s v="KSh 1,737"/>
    <n v="0.34"/>
    <x v="10"/>
    <m/>
    <n v="1150"/>
    <n v="1737"/>
    <n v="587"/>
    <n v="0"/>
    <x v="2"/>
    <x v="0"/>
    <x v="14"/>
  </r>
  <r>
    <x v="103"/>
    <s v="KSh 1,190"/>
    <s v="KSh 1,810"/>
    <n v="0.34"/>
    <x v="10"/>
    <m/>
    <n v="1190"/>
    <n v="1810"/>
    <n v="620"/>
    <n v="0"/>
    <x v="2"/>
    <x v="0"/>
    <x v="14"/>
  </r>
  <r>
    <x v="104"/>
    <s v="KSh 1,658"/>
    <s v="KSh 1,699"/>
    <n v="0.02"/>
    <x v="10"/>
    <m/>
    <n v="1658"/>
    <n v="1699"/>
    <n v="41"/>
    <n v="0"/>
    <x v="2"/>
    <x v="2"/>
    <x v="14"/>
  </r>
  <r>
    <x v="105"/>
    <s v="KSh 1,768"/>
    <s v="KSh 1,799"/>
    <n v="0.02"/>
    <x v="10"/>
    <m/>
    <n v="1768"/>
    <n v="1799"/>
    <n v="31"/>
    <n v="0"/>
    <x v="2"/>
    <x v="2"/>
    <x v="14"/>
  </r>
  <r>
    <x v="106"/>
    <s v="KSh 199"/>
    <s v="KSh 553"/>
    <n v="0.64"/>
    <x v="10"/>
    <m/>
    <n v="199"/>
    <n v="553"/>
    <n v="354"/>
    <n v="0"/>
    <x v="2"/>
    <x v="1"/>
    <x v="14"/>
  </r>
  <r>
    <x v="107"/>
    <s v="KSh 450"/>
    <s v="KSh 900"/>
    <n v="0.5"/>
    <x v="22"/>
    <n v="-1"/>
    <n v="450"/>
    <n v="900"/>
    <n v="450"/>
    <n v="2"/>
    <x v="2"/>
    <x v="1"/>
    <x v="18"/>
  </r>
  <r>
    <x v="108"/>
    <s v="KSh 169"/>
    <s v="KSh 320"/>
    <n v="0.47"/>
    <x v="10"/>
    <m/>
    <n v="169"/>
    <n v="320"/>
    <n v="151"/>
    <n v="0"/>
    <x v="2"/>
    <x v="1"/>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3A489-F5A5-4515-9841-C5D5FE4E5F4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77:O81" firstHeaderRow="1" firstDataRow="1" firstDataCol="1"/>
  <pivotFields count="13">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dataFields count="1">
    <dataField name="Count of Product" fld="0" subtotal="count" baseField="0" baseItem="0"/>
  </dataFields>
  <formats count="6">
    <format dxfId="13">
      <pivotArea type="all" dataOnly="0" outline="0" fieldPosition="0"/>
    </format>
    <format dxfId="12">
      <pivotArea outline="0" collapsedLevelsAreSubtotals="1" fieldPosition="0"/>
    </format>
    <format dxfId="11">
      <pivotArea field="11" type="button" dataOnly="0" labelOnly="1" outline="0" axis="axisRow" fieldPosition="0"/>
    </format>
    <format dxfId="10">
      <pivotArea dataOnly="0" labelOnly="1" fieldPosition="0">
        <references count="1">
          <reference field="11" count="0"/>
        </references>
      </pivotArea>
    </format>
    <format dxfId="9">
      <pivotArea dataOnly="0" labelOnly="1" grandRow="1" outline="0" fieldPosition="0"/>
    </format>
    <format dxfId="8">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0190-E3F6-4743-8959-F0969CE41EA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92:O96" firstHeaderRow="1" firstDataRow="1" firstDataCol="1"/>
  <pivotFields count="13">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s>
  <rowFields count="1">
    <field x="10"/>
  </rowFields>
  <rowItems count="4">
    <i>
      <x/>
    </i>
    <i>
      <x v="1"/>
    </i>
    <i>
      <x v="2"/>
    </i>
    <i t="grand">
      <x/>
    </i>
  </rowItems>
  <colItems count="1">
    <i/>
  </colItems>
  <dataFields count="1">
    <dataField name="Count of Product" fld="0" subtotal="count" baseField="0" baseItem="0"/>
  </dataFields>
  <formats count="6">
    <format dxfId="6">
      <pivotArea type="all" dataOnly="0" outline="0" fieldPosition="0"/>
    </format>
    <format dxfId="5">
      <pivotArea outline="0" collapsedLevelsAreSubtotals="1"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BDD34-7154-4699-9736-09C457DE2F7E}"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221" firstHeaderRow="0" firstDataRow="1" firstDataCol="1"/>
  <pivotFields count="13">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3"/>
            </reference>
          </references>
        </pivotArea>
      </autoSortScope>
    </pivotField>
    <pivotField showAll="0"/>
    <pivotField showAll="0"/>
    <pivotField numFmtId="9"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dataField="1" showAll="0"/>
    <pivotField dataField="1" showAll="0"/>
    <pivotField dataField="1" showAll="0"/>
    <pivotField showAll="0"/>
    <pivotField showAll="0">
      <items count="4">
        <item x="1"/>
        <item x="0"/>
        <item x="2"/>
        <item t="default"/>
      </items>
    </pivotField>
    <pivotField axis="axisRow" showAll="0">
      <items count="4">
        <item x="1"/>
        <item x="2"/>
        <item x="0"/>
        <item t="default"/>
      </items>
    </pivotField>
    <pivotField dataField="1" showAll="0"/>
  </pivotFields>
  <rowFields count="2">
    <field x="0"/>
    <field x="11"/>
  </rowFields>
  <rowItems count="219">
    <i>
      <x v="5"/>
    </i>
    <i r="1">
      <x/>
    </i>
    <i>
      <x v="8"/>
    </i>
    <i r="1">
      <x v="2"/>
    </i>
    <i>
      <x v="59"/>
    </i>
    <i r="1">
      <x v="2"/>
    </i>
    <i>
      <x v="18"/>
    </i>
    <i r="1">
      <x/>
    </i>
    <i>
      <x v="1"/>
    </i>
    <i r="1">
      <x v="2"/>
    </i>
    <i>
      <x v="95"/>
    </i>
    <i r="1">
      <x v="2"/>
    </i>
    <i>
      <x v="27"/>
    </i>
    <i r="1">
      <x v="2"/>
    </i>
    <i>
      <x v="91"/>
    </i>
    <i r="1">
      <x v="2"/>
    </i>
    <i>
      <x v="28"/>
    </i>
    <i r="1">
      <x v="2"/>
    </i>
    <i>
      <x v="26"/>
    </i>
    <i r="1">
      <x v="2"/>
    </i>
    <i>
      <x v="38"/>
    </i>
    <i r="1">
      <x/>
    </i>
    <i>
      <x v="101"/>
    </i>
    <i r="1">
      <x v="2"/>
    </i>
    <i>
      <x v="64"/>
    </i>
    <i r="1">
      <x/>
    </i>
    <i>
      <x v="11"/>
    </i>
    <i r="1">
      <x v="1"/>
    </i>
    <i>
      <x v="77"/>
    </i>
    <i r="1">
      <x/>
    </i>
    <i>
      <x v="61"/>
    </i>
    <i r="1">
      <x v="2"/>
    </i>
    <i>
      <x v="3"/>
    </i>
    <i r="1">
      <x v="2"/>
    </i>
    <i>
      <x v="20"/>
    </i>
    <i r="1">
      <x/>
    </i>
    <i>
      <x v="30"/>
    </i>
    <i r="1">
      <x/>
    </i>
    <i>
      <x v="22"/>
    </i>
    <i r="1">
      <x/>
    </i>
    <i>
      <x v="93"/>
    </i>
    <i r="1">
      <x v="1"/>
    </i>
    <i>
      <x v="62"/>
    </i>
    <i r="1">
      <x v="2"/>
    </i>
    <i>
      <x v="4"/>
    </i>
    <i r="1">
      <x v="2"/>
    </i>
    <i>
      <x v="84"/>
    </i>
    <i r="1">
      <x/>
    </i>
    <i>
      <x v="60"/>
    </i>
    <i r="1">
      <x/>
    </i>
    <i>
      <x v="80"/>
    </i>
    <i r="1">
      <x v="2"/>
    </i>
    <i>
      <x v="72"/>
    </i>
    <i r="1">
      <x/>
    </i>
    <i>
      <x v="67"/>
    </i>
    <i r="1">
      <x/>
    </i>
    <i>
      <x v="17"/>
    </i>
    <i r="1">
      <x/>
    </i>
    <i>
      <x v="58"/>
    </i>
    <i r="1">
      <x/>
    </i>
    <i>
      <x v="107"/>
    </i>
    <i r="1">
      <x v="2"/>
    </i>
    <i>
      <x v="69"/>
    </i>
    <i r="1">
      <x v="2"/>
    </i>
    <i>
      <x v="106"/>
    </i>
    <i r="1">
      <x v="2"/>
    </i>
    <i>
      <x v="41"/>
    </i>
    <i r="1">
      <x/>
    </i>
    <i>
      <x v="73"/>
    </i>
    <i r="1">
      <x v="2"/>
    </i>
    <i>
      <x v="25"/>
    </i>
    <i r="1">
      <x v="1"/>
    </i>
    <i>
      <x v="35"/>
    </i>
    <i r="1">
      <x/>
    </i>
    <i>
      <x v="66"/>
    </i>
    <i r="1">
      <x v="2"/>
    </i>
    <i>
      <x v="75"/>
    </i>
    <i r="1">
      <x v="1"/>
    </i>
    <i>
      <x v="7"/>
    </i>
    <i r="1">
      <x/>
    </i>
    <i>
      <x v="90"/>
    </i>
    <i r="1">
      <x v="2"/>
    </i>
    <i>
      <x v="70"/>
    </i>
    <i r="1">
      <x/>
    </i>
    <i>
      <x v="16"/>
    </i>
    <i r="1">
      <x v="2"/>
    </i>
    <i>
      <x v="108"/>
    </i>
    <i r="1">
      <x v="2"/>
    </i>
    <i>
      <x v="68"/>
    </i>
    <i r="1">
      <x/>
    </i>
    <i>
      <x v="56"/>
    </i>
    <i r="1">
      <x v="2"/>
    </i>
    <i>
      <x v="40"/>
    </i>
    <i r="1">
      <x/>
    </i>
    <i>
      <x v="52"/>
    </i>
    <i r="1">
      <x/>
    </i>
    <i>
      <x v="87"/>
    </i>
    <i r="1">
      <x/>
    </i>
    <i>
      <x/>
    </i>
    <i r="1">
      <x v="2"/>
    </i>
    <i>
      <x v="2"/>
    </i>
    <i r="1">
      <x v="2"/>
    </i>
    <i>
      <x v="65"/>
    </i>
    <i r="1">
      <x v="2"/>
    </i>
    <i>
      <x v="76"/>
    </i>
    <i r="1">
      <x/>
    </i>
    <i>
      <x v="57"/>
    </i>
    <i r="1">
      <x v="2"/>
    </i>
    <i>
      <x v="44"/>
    </i>
    <i r="1">
      <x/>
    </i>
    <i>
      <x v="63"/>
    </i>
    <i r="1">
      <x/>
    </i>
    <i>
      <x v="104"/>
    </i>
    <i r="1">
      <x/>
    </i>
    <i>
      <x v="88"/>
    </i>
    <i r="1">
      <x v="1"/>
    </i>
    <i>
      <x v="36"/>
    </i>
    <i r="1">
      <x v="2"/>
    </i>
    <i>
      <x v="96"/>
    </i>
    <i r="1">
      <x/>
    </i>
    <i>
      <x v="12"/>
    </i>
    <i r="1">
      <x v="1"/>
    </i>
    <i>
      <x v="37"/>
    </i>
    <i r="1">
      <x v="2"/>
    </i>
    <i>
      <x v="23"/>
    </i>
    <i r="1">
      <x/>
    </i>
    <i>
      <x v="92"/>
    </i>
    <i r="1">
      <x v="1"/>
    </i>
    <i>
      <x v="24"/>
    </i>
    <i r="1">
      <x v="2"/>
    </i>
    <i>
      <x v="100"/>
    </i>
    <i r="1">
      <x v="1"/>
    </i>
    <i>
      <x v="13"/>
    </i>
    <i r="1">
      <x/>
    </i>
    <i>
      <x v="82"/>
    </i>
    <i r="1">
      <x/>
    </i>
    <i>
      <x v="14"/>
    </i>
    <i r="1">
      <x v="2"/>
    </i>
    <i>
      <x v="86"/>
    </i>
    <i r="1">
      <x v="1"/>
    </i>
    <i>
      <x v="49"/>
    </i>
    <i r="1">
      <x v="2"/>
    </i>
    <i>
      <x v="19"/>
    </i>
    <i r="1">
      <x v="2"/>
    </i>
    <i>
      <x v="15"/>
    </i>
    <i r="1">
      <x/>
    </i>
    <i>
      <x v="94"/>
    </i>
    <i r="1">
      <x/>
    </i>
    <i>
      <x v="50"/>
    </i>
    <i r="1">
      <x/>
    </i>
    <i>
      <x v="98"/>
    </i>
    <i r="1">
      <x v="1"/>
    </i>
    <i>
      <x v="6"/>
    </i>
    <i r="1">
      <x v="2"/>
    </i>
    <i>
      <x v="102"/>
    </i>
    <i r="1">
      <x/>
    </i>
    <i>
      <x v="29"/>
    </i>
    <i r="1">
      <x v="2"/>
    </i>
    <i>
      <x v="81"/>
    </i>
    <i r="1">
      <x v="2"/>
    </i>
    <i>
      <x v="51"/>
    </i>
    <i r="1">
      <x/>
    </i>
    <i>
      <x v="83"/>
    </i>
    <i r="1">
      <x v="1"/>
    </i>
    <i>
      <x v="9"/>
    </i>
    <i r="1">
      <x v="2"/>
    </i>
    <i>
      <x v="85"/>
    </i>
    <i r="1">
      <x v="1"/>
    </i>
    <i>
      <x v="31"/>
    </i>
    <i r="1">
      <x/>
    </i>
    <i>
      <x v="46"/>
    </i>
    <i r="1">
      <x/>
    </i>
    <i>
      <x v="71"/>
    </i>
    <i r="1">
      <x v="2"/>
    </i>
    <i>
      <x v="89"/>
    </i>
    <i r="1">
      <x v="2"/>
    </i>
    <i>
      <x v="32"/>
    </i>
    <i r="1">
      <x/>
    </i>
    <i>
      <x v="39"/>
    </i>
    <i r="1">
      <x/>
    </i>
    <i>
      <x v="103"/>
    </i>
    <i r="1">
      <x v="1"/>
    </i>
    <i>
      <x v="55"/>
    </i>
    <i r="1">
      <x v="2"/>
    </i>
    <i>
      <x v="105"/>
    </i>
    <i r="1">
      <x v="1"/>
    </i>
    <i>
      <x v="47"/>
    </i>
    <i r="1">
      <x/>
    </i>
    <i>
      <x v="45"/>
    </i>
    <i r="1">
      <x/>
    </i>
    <i>
      <x v="97"/>
    </i>
    <i r="1">
      <x v="1"/>
    </i>
    <i>
      <x v="21"/>
    </i>
    <i r="1">
      <x/>
    </i>
    <i>
      <x v="99"/>
    </i>
    <i r="1">
      <x/>
    </i>
    <i>
      <x v="10"/>
    </i>
    <i r="1">
      <x v="1"/>
    </i>
    <i>
      <x v="42"/>
    </i>
    <i r="1">
      <x/>
    </i>
    <i>
      <x v="78"/>
    </i>
    <i r="1">
      <x v="1"/>
    </i>
    <i>
      <x v="48"/>
    </i>
    <i r="1">
      <x/>
    </i>
    <i>
      <x v="79"/>
    </i>
    <i r="1">
      <x/>
    </i>
    <i>
      <x v="33"/>
    </i>
    <i r="1">
      <x v="2"/>
    </i>
    <i>
      <x v="43"/>
    </i>
    <i r="1">
      <x v="2"/>
    </i>
    <i>
      <x v="74"/>
    </i>
    <i r="1">
      <x v="2"/>
    </i>
    <i>
      <x v="34"/>
    </i>
    <i r="1">
      <x/>
    </i>
    <i>
      <x v="53"/>
    </i>
    <i r="1">
      <x/>
    </i>
    <i>
      <x v="54"/>
    </i>
    <i r="1">
      <x v="1"/>
    </i>
    <i t="grand">
      <x/>
    </i>
  </rowItems>
  <colFields count="1">
    <field x="-2"/>
  </colFields>
  <colItems count="4">
    <i>
      <x/>
    </i>
    <i i="1">
      <x v="1"/>
    </i>
    <i i="2">
      <x v="2"/>
    </i>
    <i i="3">
      <x v="3"/>
    </i>
  </colItems>
  <dataFields count="4">
    <dataField name="Sum of Current prices" fld="6" baseField="0" baseItem="0"/>
    <dataField name="Sum of Old prices" fld="7" baseField="0" baseItem="0"/>
    <dataField name="Sum of Discounts" fld="8" baseField="0" baseItem="0"/>
    <dataField name="Average of Cleanreview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B7CF3F-69DE-46A3-A144-37D5DD6C3A5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F221" firstHeaderRow="0" firstDataRow="1" firstDataCol="1"/>
  <pivotFields count="13">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showAll="0"/>
    <pivotField dataField="1" showAll="0"/>
    <pivotField dataField="1" showAll="0"/>
    <pivotField dataField="1" showAll="0"/>
    <pivotField dataField="1" showAll="0"/>
    <pivotField showAll="0"/>
    <pivotField axis="axisRow" showAll="0">
      <items count="4">
        <item x="1"/>
        <item x="2"/>
        <item x="0"/>
        <item t="default"/>
      </items>
    </pivotField>
    <pivotField dataField="1" showAll="0"/>
  </pivotFields>
  <rowFields count="2">
    <field x="0"/>
    <field x="11"/>
  </rowFields>
  <rowItems count="219">
    <i>
      <x/>
    </i>
    <i r="1">
      <x v="2"/>
    </i>
    <i>
      <x v="1"/>
    </i>
    <i r="1">
      <x v="2"/>
    </i>
    <i>
      <x v="2"/>
    </i>
    <i r="1">
      <x v="2"/>
    </i>
    <i>
      <x v="3"/>
    </i>
    <i r="1">
      <x v="2"/>
    </i>
    <i>
      <x v="4"/>
    </i>
    <i r="1">
      <x v="2"/>
    </i>
    <i>
      <x v="5"/>
    </i>
    <i r="1">
      <x/>
    </i>
    <i>
      <x v="6"/>
    </i>
    <i r="1">
      <x v="2"/>
    </i>
    <i>
      <x v="7"/>
    </i>
    <i r="1">
      <x/>
    </i>
    <i>
      <x v="8"/>
    </i>
    <i r="1">
      <x v="2"/>
    </i>
    <i>
      <x v="9"/>
    </i>
    <i r="1">
      <x v="2"/>
    </i>
    <i>
      <x v="10"/>
    </i>
    <i r="1">
      <x v="1"/>
    </i>
    <i>
      <x v="11"/>
    </i>
    <i r="1">
      <x v="1"/>
    </i>
    <i>
      <x v="12"/>
    </i>
    <i r="1">
      <x v="1"/>
    </i>
    <i>
      <x v="13"/>
    </i>
    <i r="1">
      <x/>
    </i>
    <i>
      <x v="14"/>
    </i>
    <i r="1">
      <x v="2"/>
    </i>
    <i>
      <x v="15"/>
    </i>
    <i r="1">
      <x/>
    </i>
    <i>
      <x v="16"/>
    </i>
    <i r="1">
      <x v="2"/>
    </i>
    <i>
      <x v="17"/>
    </i>
    <i r="1">
      <x/>
    </i>
    <i>
      <x v="18"/>
    </i>
    <i r="1">
      <x/>
    </i>
    <i>
      <x v="19"/>
    </i>
    <i r="1">
      <x v="2"/>
    </i>
    <i>
      <x v="20"/>
    </i>
    <i r="1">
      <x/>
    </i>
    <i>
      <x v="21"/>
    </i>
    <i r="1">
      <x/>
    </i>
    <i>
      <x v="22"/>
    </i>
    <i r="1">
      <x/>
    </i>
    <i>
      <x v="23"/>
    </i>
    <i r="1">
      <x/>
    </i>
    <i>
      <x v="24"/>
    </i>
    <i r="1">
      <x v="2"/>
    </i>
    <i>
      <x v="25"/>
    </i>
    <i r="1">
      <x v="1"/>
    </i>
    <i>
      <x v="26"/>
    </i>
    <i r="1">
      <x v="2"/>
    </i>
    <i>
      <x v="27"/>
    </i>
    <i r="1">
      <x v="2"/>
    </i>
    <i>
      <x v="28"/>
    </i>
    <i r="1">
      <x v="2"/>
    </i>
    <i>
      <x v="29"/>
    </i>
    <i r="1">
      <x v="2"/>
    </i>
    <i>
      <x v="30"/>
    </i>
    <i r="1">
      <x/>
    </i>
    <i>
      <x v="31"/>
    </i>
    <i r="1">
      <x/>
    </i>
    <i>
      <x v="32"/>
    </i>
    <i r="1">
      <x/>
    </i>
    <i>
      <x v="33"/>
    </i>
    <i r="1">
      <x v="2"/>
    </i>
    <i>
      <x v="34"/>
    </i>
    <i r="1">
      <x/>
    </i>
    <i>
      <x v="35"/>
    </i>
    <i r="1">
      <x/>
    </i>
    <i>
      <x v="36"/>
    </i>
    <i r="1">
      <x v="2"/>
    </i>
    <i>
      <x v="37"/>
    </i>
    <i r="1">
      <x v="2"/>
    </i>
    <i>
      <x v="38"/>
    </i>
    <i r="1">
      <x/>
    </i>
    <i>
      <x v="39"/>
    </i>
    <i r="1">
      <x/>
    </i>
    <i>
      <x v="40"/>
    </i>
    <i r="1">
      <x/>
    </i>
    <i>
      <x v="41"/>
    </i>
    <i r="1">
      <x/>
    </i>
    <i>
      <x v="42"/>
    </i>
    <i r="1">
      <x/>
    </i>
    <i>
      <x v="43"/>
    </i>
    <i r="1">
      <x v="2"/>
    </i>
    <i>
      <x v="44"/>
    </i>
    <i r="1">
      <x/>
    </i>
    <i>
      <x v="45"/>
    </i>
    <i r="1">
      <x/>
    </i>
    <i>
      <x v="46"/>
    </i>
    <i r="1">
      <x/>
    </i>
    <i>
      <x v="47"/>
    </i>
    <i r="1">
      <x/>
    </i>
    <i>
      <x v="48"/>
    </i>
    <i r="1">
      <x/>
    </i>
    <i>
      <x v="49"/>
    </i>
    <i r="1">
      <x v="2"/>
    </i>
    <i>
      <x v="50"/>
    </i>
    <i r="1">
      <x/>
    </i>
    <i>
      <x v="51"/>
    </i>
    <i r="1">
      <x/>
    </i>
    <i>
      <x v="52"/>
    </i>
    <i r="1">
      <x/>
    </i>
    <i>
      <x v="53"/>
    </i>
    <i r="1">
      <x/>
    </i>
    <i>
      <x v="54"/>
    </i>
    <i r="1">
      <x v="1"/>
    </i>
    <i>
      <x v="55"/>
    </i>
    <i r="1">
      <x v="2"/>
    </i>
    <i>
      <x v="56"/>
    </i>
    <i r="1">
      <x v="2"/>
    </i>
    <i>
      <x v="57"/>
    </i>
    <i r="1">
      <x v="2"/>
    </i>
    <i>
      <x v="58"/>
    </i>
    <i r="1">
      <x/>
    </i>
    <i>
      <x v="59"/>
    </i>
    <i r="1">
      <x v="2"/>
    </i>
    <i>
      <x v="60"/>
    </i>
    <i r="1">
      <x/>
    </i>
    <i>
      <x v="61"/>
    </i>
    <i r="1">
      <x v="2"/>
    </i>
    <i>
      <x v="62"/>
    </i>
    <i r="1">
      <x v="2"/>
    </i>
    <i>
      <x v="63"/>
    </i>
    <i r="1">
      <x/>
    </i>
    <i>
      <x v="64"/>
    </i>
    <i r="1">
      <x/>
    </i>
    <i>
      <x v="65"/>
    </i>
    <i r="1">
      <x v="2"/>
    </i>
    <i>
      <x v="66"/>
    </i>
    <i r="1">
      <x v="2"/>
    </i>
    <i>
      <x v="67"/>
    </i>
    <i r="1">
      <x/>
    </i>
    <i>
      <x v="68"/>
    </i>
    <i r="1">
      <x/>
    </i>
    <i>
      <x v="69"/>
    </i>
    <i r="1">
      <x v="2"/>
    </i>
    <i>
      <x v="70"/>
    </i>
    <i r="1">
      <x/>
    </i>
    <i>
      <x v="71"/>
    </i>
    <i r="1">
      <x v="2"/>
    </i>
    <i>
      <x v="72"/>
    </i>
    <i r="1">
      <x/>
    </i>
    <i>
      <x v="73"/>
    </i>
    <i r="1">
      <x v="2"/>
    </i>
    <i>
      <x v="74"/>
    </i>
    <i r="1">
      <x v="2"/>
    </i>
    <i>
      <x v="75"/>
    </i>
    <i r="1">
      <x v="1"/>
    </i>
    <i>
      <x v="76"/>
    </i>
    <i r="1">
      <x/>
    </i>
    <i>
      <x v="77"/>
    </i>
    <i r="1">
      <x/>
    </i>
    <i>
      <x v="78"/>
    </i>
    <i r="1">
      <x v="1"/>
    </i>
    <i>
      <x v="79"/>
    </i>
    <i r="1">
      <x/>
    </i>
    <i>
      <x v="80"/>
    </i>
    <i r="1">
      <x v="2"/>
    </i>
    <i>
      <x v="81"/>
    </i>
    <i r="1">
      <x v="2"/>
    </i>
    <i>
      <x v="82"/>
    </i>
    <i r="1">
      <x/>
    </i>
    <i>
      <x v="83"/>
    </i>
    <i r="1">
      <x v="1"/>
    </i>
    <i>
      <x v="84"/>
    </i>
    <i r="1">
      <x/>
    </i>
    <i>
      <x v="85"/>
    </i>
    <i r="1">
      <x v="1"/>
    </i>
    <i>
      <x v="86"/>
    </i>
    <i r="1">
      <x v="1"/>
    </i>
    <i>
      <x v="87"/>
    </i>
    <i r="1">
      <x/>
    </i>
    <i>
      <x v="88"/>
    </i>
    <i r="1">
      <x v="1"/>
    </i>
    <i>
      <x v="89"/>
    </i>
    <i r="1">
      <x v="2"/>
    </i>
    <i>
      <x v="90"/>
    </i>
    <i r="1">
      <x v="2"/>
    </i>
    <i>
      <x v="91"/>
    </i>
    <i r="1">
      <x v="2"/>
    </i>
    <i>
      <x v="92"/>
    </i>
    <i r="1">
      <x v="1"/>
    </i>
    <i>
      <x v="93"/>
    </i>
    <i r="1">
      <x v="1"/>
    </i>
    <i>
      <x v="94"/>
    </i>
    <i r="1">
      <x/>
    </i>
    <i>
      <x v="95"/>
    </i>
    <i r="1">
      <x v="2"/>
    </i>
    <i>
      <x v="96"/>
    </i>
    <i r="1">
      <x/>
    </i>
    <i>
      <x v="97"/>
    </i>
    <i r="1">
      <x v="1"/>
    </i>
    <i>
      <x v="98"/>
    </i>
    <i r="1">
      <x v="1"/>
    </i>
    <i>
      <x v="99"/>
    </i>
    <i r="1">
      <x/>
    </i>
    <i>
      <x v="100"/>
    </i>
    <i r="1">
      <x v="1"/>
    </i>
    <i>
      <x v="101"/>
    </i>
    <i r="1">
      <x v="2"/>
    </i>
    <i>
      <x v="102"/>
    </i>
    <i r="1">
      <x/>
    </i>
    <i>
      <x v="103"/>
    </i>
    <i r="1">
      <x v="1"/>
    </i>
    <i>
      <x v="104"/>
    </i>
    <i r="1">
      <x/>
    </i>
    <i>
      <x v="105"/>
    </i>
    <i r="1">
      <x v="1"/>
    </i>
    <i>
      <x v="106"/>
    </i>
    <i r="1">
      <x v="2"/>
    </i>
    <i>
      <x v="107"/>
    </i>
    <i r="1">
      <x v="2"/>
    </i>
    <i>
      <x v="108"/>
    </i>
    <i r="1">
      <x v="2"/>
    </i>
    <i t="grand">
      <x/>
    </i>
  </rowItems>
  <colFields count="1">
    <field x="-2"/>
  </colFields>
  <colItems count="5">
    <i>
      <x/>
    </i>
    <i i="1">
      <x v="1"/>
    </i>
    <i i="2">
      <x v="2"/>
    </i>
    <i i="3">
      <x v="3"/>
    </i>
    <i i="4">
      <x v="4"/>
    </i>
  </colItems>
  <dataFields count="5">
    <dataField name="Sum of Current prices" fld="6" baseField="0" baseItem="0"/>
    <dataField name="Sum of Old prices" fld="7" baseField="0" baseItem="0"/>
    <dataField name="Sum of Discounts" fld="8" baseField="0" baseItem="0"/>
    <dataField name="Average of Rating" fld="9" subtotal="average" baseField="0" baseItem="0"/>
    <dataField name="Average of Cleanreview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6C9732-C43B-450B-977A-4FFBA20223E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F21" firstHeaderRow="0" firstDataRow="1" firstDataCol="1"/>
  <pivotFields count="13">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dataField="1" showAll="0"/>
    <pivotField dataField="1" showAll="0"/>
    <pivotField dataField="1" showAll="0"/>
    <pivotField dataField="1" showAll="0"/>
    <pivotField showAll="0">
      <items count="4">
        <item h="1" x="1"/>
        <item h="1" x="0"/>
        <item x="2"/>
        <item t="default"/>
      </items>
    </pivotField>
    <pivotField showAll="0">
      <items count="4">
        <item h="1" x="1"/>
        <item h="1" x="2"/>
        <item x="0"/>
        <item t="default"/>
      </items>
    </pivotField>
    <pivotField dataField="1" showAll="0">
      <items count="25">
        <item x="14"/>
        <item x="18"/>
        <item x="0"/>
        <item x="11"/>
        <item x="4"/>
        <item x="9"/>
        <item x="3"/>
        <item x="10"/>
        <item x="20"/>
        <item x="7"/>
        <item x="13"/>
        <item x="1"/>
        <item x="5"/>
        <item x="22"/>
        <item x="23"/>
        <item x="16"/>
        <item x="2"/>
        <item x="17"/>
        <item x="19"/>
        <item x="8"/>
        <item x="12"/>
        <item x="15"/>
        <item x="6"/>
        <item x="21"/>
        <item t="default"/>
      </items>
    </pivotField>
  </pivotFields>
  <rowFields count="1">
    <field x="0"/>
  </rowFields>
  <rowItems count="19">
    <i>
      <x v="6"/>
    </i>
    <i>
      <x v="9"/>
    </i>
    <i>
      <x v="14"/>
    </i>
    <i>
      <x v="19"/>
    </i>
    <i>
      <x v="24"/>
    </i>
    <i>
      <x v="29"/>
    </i>
    <i>
      <x v="33"/>
    </i>
    <i>
      <x v="36"/>
    </i>
    <i>
      <x v="37"/>
    </i>
    <i>
      <x v="43"/>
    </i>
    <i>
      <x v="49"/>
    </i>
    <i>
      <x v="55"/>
    </i>
    <i>
      <x v="71"/>
    </i>
    <i>
      <x v="74"/>
    </i>
    <i>
      <x v="81"/>
    </i>
    <i>
      <x v="89"/>
    </i>
    <i>
      <x v="101"/>
    </i>
    <i>
      <x v="106"/>
    </i>
    <i t="grand">
      <x/>
    </i>
  </rowItems>
  <colFields count="1">
    <field x="-2"/>
  </colFields>
  <colItems count="5">
    <i>
      <x/>
    </i>
    <i i="1">
      <x v="1"/>
    </i>
    <i i="2">
      <x v="2"/>
    </i>
    <i i="3">
      <x v="3"/>
    </i>
    <i i="4">
      <x v="4"/>
    </i>
  </colItems>
  <dataFields count="5">
    <dataField name="Sum of Current prices" fld="6" baseField="0" baseItem="0"/>
    <dataField name="Sum of Old prices" fld="7" baseField="0" baseItem="0"/>
    <dataField name="Sum of Discounts" fld="8" baseField="0" baseItem="0"/>
    <dataField name="Sum of Rating" fld="9" baseField="0" baseItem="0"/>
    <dataField name="Average of Cleanreviews" fld="12" subtotal="average"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count" evalOrder="-1" id="2" iMeasureFld="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C9299F-399C-4959-BD45-CAFD4444854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F20" firstHeaderRow="0" firstDataRow="1" firstDataCol="1"/>
  <pivotFields count="12">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dataField="1" showAll="0"/>
    <pivotField dataField="1" showAll="0"/>
    <pivotField dataField="1" showAll="0"/>
    <pivotField dataField="1" showAll="0">
      <items count="104">
        <item x="95"/>
        <item x="100"/>
        <item x="78"/>
        <item x="41"/>
        <item x="48"/>
        <item x="50"/>
        <item x="99"/>
        <item x="20"/>
        <item x="96"/>
        <item x="73"/>
        <item x="49"/>
        <item x="88"/>
        <item x="83"/>
        <item x="90"/>
        <item x="102"/>
        <item x="91"/>
        <item x="16"/>
        <item x="80"/>
        <item x="34"/>
        <item x="29"/>
        <item x="10"/>
        <item x="74"/>
        <item x="25"/>
        <item x="85"/>
        <item x="81"/>
        <item x="39"/>
        <item x="68"/>
        <item x="82"/>
        <item x="35"/>
        <item x="5"/>
        <item x="47"/>
        <item x="46"/>
        <item x="79"/>
        <item x="66"/>
        <item x="57"/>
        <item x="62"/>
        <item x="15"/>
        <item x="101"/>
        <item x="61"/>
        <item x="13"/>
        <item x="69"/>
        <item x="52"/>
        <item x="60"/>
        <item x="40"/>
        <item x="38"/>
        <item x="22"/>
        <item x="1"/>
        <item x="12"/>
        <item x="56"/>
        <item x="23"/>
        <item x="92"/>
        <item x="11"/>
        <item x="58"/>
        <item x="51"/>
        <item x="0"/>
        <item x="36"/>
        <item x="97"/>
        <item x="7"/>
        <item x="43"/>
        <item x="4"/>
        <item x="98"/>
        <item x="84"/>
        <item x="26"/>
        <item x="53"/>
        <item x="44"/>
        <item x="72"/>
        <item x="18"/>
        <item x="31"/>
        <item x="6"/>
        <item x="32"/>
        <item x="2"/>
        <item x="27"/>
        <item x="45"/>
        <item x="54"/>
        <item x="93"/>
        <item x="89"/>
        <item x="14"/>
        <item x="63"/>
        <item x="77"/>
        <item x="70"/>
        <item x="86"/>
        <item x="3"/>
        <item x="67"/>
        <item x="76"/>
        <item x="94"/>
        <item x="19"/>
        <item x="64"/>
        <item x="42"/>
        <item x="75"/>
        <item x="55"/>
        <item x="33"/>
        <item x="87"/>
        <item x="9"/>
        <item x="21"/>
        <item x="71"/>
        <item x="8"/>
        <item x="30"/>
        <item x="37"/>
        <item x="28"/>
        <item x="17"/>
        <item x="65"/>
        <item x="24"/>
        <item x="59"/>
        <item t="default"/>
      </items>
    </pivotField>
    <pivotField dataField="1" showAll="0"/>
    <pivotField showAll="0">
      <items count="4">
        <item x="1"/>
        <item h="1" x="0"/>
        <item h="1" x="2"/>
        <item t="default"/>
      </items>
    </pivotField>
    <pivotField showAll="0">
      <items count="4">
        <item x="1"/>
        <item h="1" x="2"/>
        <item h="1" x="0"/>
        <item t="default"/>
      </items>
    </pivotField>
  </pivotFields>
  <rowFields count="2">
    <field x="0"/>
    <field x="4"/>
  </rowFields>
  <rowItems count="19">
    <i>
      <x v="7"/>
    </i>
    <i r="1">
      <x v="11"/>
    </i>
    <i>
      <x v="20"/>
    </i>
    <i r="1">
      <x v="10"/>
    </i>
    <i>
      <x v="60"/>
    </i>
    <i r="1">
      <x v="15"/>
    </i>
    <i>
      <x v="63"/>
    </i>
    <i r="1">
      <x v="12"/>
    </i>
    <i>
      <x v="67"/>
    </i>
    <i r="1">
      <x v="15"/>
    </i>
    <i>
      <x v="72"/>
    </i>
    <i r="1">
      <x v="15"/>
    </i>
    <i>
      <x v="76"/>
    </i>
    <i r="1">
      <x v="9"/>
    </i>
    <i>
      <x v="77"/>
    </i>
    <i r="1">
      <x v="13"/>
    </i>
    <i>
      <x v="84"/>
    </i>
    <i r="1">
      <x v="9"/>
    </i>
    <i t="grand">
      <x/>
    </i>
  </rowItems>
  <colFields count="1">
    <field x="-2"/>
  </colFields>
  <colItems count="5">
    <i>
      <x/>
    </i>
    <i i="1">
      <x v="1"/>
    </i>
    <i i="2">
      <x v="2"/>
    </i>
    <i i="3">
      <x v="3"/>
    </i>
    <i i="4">
      <x v="4"/>
    </i>
  </colItems>
  <dataFields count="5">
    <dataField name="Sum of Review" fld="5" baseField="0" baseItem="0"/>
    <dataField name="Sum of Current prices" fld="6" baseField="0" baseItem="0"/>
    <dataField name="Sum of Old prices" fld="7" baseField="0" baseItem="0"/>
    <dataField name="Average of Discounts" fld="8" subtotal="average" baseField="0" baseItem="0"/>
    <dataField name="Sum of Rating" fld="9"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3"/>
          </reference>
        </references>
      </pivotArea>
    </chartFormat>
    <chartFormat chart="2" format="9"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filters count="1">
    <filter fld="0" type="count" evalOrder="-1" id="1" iMeasureFld="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2DD9DD-8B44-4519-8CB8-C9F6F36BD6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G55" firstHeaderRow="0" firstDataRow="1" firstDataCol="1"/>
  <pivotFields count="12">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4"/>
            </reference>
          </references>
        </pivotArea>
      </autoSortScope>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dataField="1" showAll="0">
      <items count="26">
        <item x="21"/>
        <item x="6"/>
        <item x="15"/>
        <item x="12"/>
        <item x="8"/>
        <item x="19"/>
        <item x="17"/>
        <item x="2"/>
        <item x="16"/>
        <item x="23"/>
        <item x="22"/>
        <item x="5"/>
        <item x="1"/>
        <item x="13"/>
        <item x="7"/>
        <item x="20"/>
        <item x="10"/>
        <item x="3"/>
        <item x="9"/>
        <item x="4"/>
        <item x="11"/>
        <item x="0"/>
        <item x="18"/>
        <item x="24"/>
        <item x="14"/>
        <item t="default"/>
      </items>
    </pivotField>
    <pivotField dataField="1" showAll="0"/>
    <pivotField dataField="1" showAll="0"/>
    <pivotField dataField="1" showAll="0"/>
    <pivotField dataField="1" showAll="0"/>
    <pivotField showAll="0">
      <items count="5">
        <item x="1"/>
        <item x="0"/>
        <item x="2"/>
        <item x="3"/>
        <item t="default"/>
      </items>
    </pivotField>
    <pivotField showAll="0">
      <items count="5">
        <item x="1"/>
        <item x="2"/>
        <item x="0"/>
        <item x="3"/>
        <item t="default"/>
      </items>
    </pivotField>
  </pivotFields>
  <rowFields count="1">
    <field x="0"/>
  </rowFields>
  <rowItems count="53">
    <i>
      <x v="71"/>
    </i>
    <i>
      <x v="99"/>
    </i>
    <i>
      <x v="86"/>
    </i>
    <i>
      <x v="9"/>
    </i>
    <i>
      <x v="51"/>
    </i>
    <i>
      <x v="10"/>
    </i>
    <i>
      <x v="81"/>
    </i>
    <i>
      <x v="12"/>
    </i>
    <i>
      <x v="94"/>
    </i>
    <i>
      <x v="13"/>
    </i>
    <i>
      <x v="105"/>
    </i>
    <i>
      <x v="14"/>
    </i>
    <i>
      <x v="54"/>
    </i>
    <i>
      <x v="15"/>
    </i>
    <i>
      <x v="78"/>
    </i>
    <i>
      <x v="19"/>
    </i>
    <i>
      <x v="83"/>
    </i>
    <i>
      <x v="21"/>
    </i>
    <i>
      <x v="89"/>
    </i>
    <i>
      <x v="23"/>
    </i>
    <i>
      <x v="97"/>
    </i>
    <i>
      <x v="24"/>
    </i>
    <i>
      <x v="102"/>
    </i>
    <i>
      <x v="29"/>
    </i>
    <i>
      <x v="50"/>
    </i>
    <i>
      <x v="31"/>
    </i>
    <i>
      <x v="53"/>
    </i>
    <i>
      <x v="32"/>
    </i>
    <i>
      <x v="55"/>
    </i>
    <i>
      <x v="33"/>
    </i>
    <i>
      <x v="74"/>
    </i>
    <i>
      <x v="34"/>
    </i>
    <i>
      <x v="79"/>
    </i>
    <i>
      <x v="36"/>
    </i>
    <i>
      <x v="82"/>
    </i>
    <i>
      <x v="37"/>
    </i>
    <i>
      <x v="85"/>
    </i>
    <i>
      <x v="39"/>
    </i>
    <i>
      <x v="88"/>
    </i>
    <i>
      <x v="42"/>
    </i>
    <i>
      <x v="92"/>
    </i>
    <i>
      <x v="43"/>
    </i>
    <i>
      <x v="96"/>
    </i>
    <i>
      <x v="45"/>
    </i>
    <i>
      <x v="98"/>
    </i>
    <i>
      <x v="46"/>
    </i>
    <i>
      <x v="100"/>
    </i>
    <i>
      <x v="47"/>
    </i>
    <i>
      <x v="103"/>
    </i>
    <i>
      <x v="48"/>
    </i>
    <i>
      <x v="6"/>
    </i>
    <i>
      <x v="49"/>
    </i>
    <i t="grand">
      <x/>
    </i>
  </rowItems>
  <colFields count="1">
    <field x="-2"/>
  </colFields>
  <colItems count="6">
    <i>
      <x/>
    </i>
    <i i="1">
      <x v="1"/>
    </i>
    <i i="2">
      <x v="2"/>
    </i>
    <i i="3">
      <x v="3"/>
    </i>
    <i i="4">
      <x v="4"/>
    </i>
    <i i="5">
      <x v="5"/>
    </i>
  </colItems>
  <dataFields count="6">
    <dataField name="Sum of Current prices" fld="6" baseField="0" baseItem="0"/>
    <dataField name="Sum of Old prices" fld="7" baseField="0" baseItem="0"/>
    <dataField name="Sum of Discounts" fld="8" baseField="0" baseItem="0"/>
    <dataField name="Count of Ratings" fld="4" subtotal="count" baseField="0" baseItem="0"/>
    <dataField name="Average of Rating" fld="9" subtotal="average" baseField="0" baseItem="0"/>
    <dataField name="Count of Review" fld="5" subtotal="count" baseField="0" baseItem="0"/>
  </dataFields>
  <pivotTableStyleInfo name="PivotStyleLight16" showRowHeaders="1" showColHeaders="1" showRowStripes="0" showColStripes="0" showLastColumn="1"/>
  <filters count="1">
    <filter fld="0" type="count" evalOrder="-1" id="19" iMeasureFld="4">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7F5580-01CF-41D1-989C-7FC9524438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G15" firstHeaderRow="0" firstDataRow="1" firstDataCol="1"/>
  <pivotFields count="12">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5"/>
            </reference>
          </references>
        </pivotArea>
      </autoSortScope>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dataField="1" showAll="0">
      <items count="26">
        <item x="21"/>
        <item x="6"/>
        <item x="15"/>
        <item x="12"/>
        <item x="8"/>
        <item x="19"/>
        <item x="17"/>
        <item x="2"/>
        <item x="16"/>
        <item x="23"/>
        <item x="22"/>
        <item x="5"/>
        <item x="1"/>
        <item x="13"/>
        <item x="7"/>
        <item x="20"/>
        <item x="10"/>
        <item x="3"/>
        <item x="9"/>
        <item x="4"/>
        <item x="11"/>
        <item x="0"/>
        <item x="18"/>
        <item x="24"/>
        <item x="14"/>
        <item t="default"/>
      </items>
    </pivotField>
    <pivotField dataField="1" showAll="0"/>
    <pivotField dataField="1" showAll="0"/>
    <pivotField dataField="1" showAll="0"/>
    <pivotField dataField="1" showAll="0"/>
    <pivotField showAll="0">
      <items count="5">
        <item h="1" x="1"/>
        <item h="1" x="0"/>
        <item x="2"/>
        <item h="1" x="3"/>
        <item t="default"/>
      </items>
    </pivotField>
    <pivotField axis="axisRow" showAll="0">
      <items count="5">
        <item x="1"/>
        <item h="1" x="2"/>
        <item h="1" x="0"/>
        <item h="1" x="3"/>
        <item t="default"/>
      </items>
    </pivotField>
  </pivotFields>
  <rowFields count="2">
    <field x="0"/>
    <field x="11"/>
  </rowFields>
  <rowItems count="13">
    <i>
      <x v="38"/>
    </i>
    <i r="1">
      <x/>
    </i>
    <i>
      <x v="64"/>
    </i>
    <i r="1">
      <x/>
    </i>
    <i>
      <x v="41"/>
    </i>
    <i r="1">
      <x/>
    </i>
    <i>
      <x v="17"/>
    </i>
    <i r="1">
      <x/>
    </i>
    <i>
      <x v="5"/>
    </i>
    <i r="1">
      <x/>
    </i>
    <i>
      <x v="35"/>
    </i>
    <i r="1">
      <x/>
    </i>
    <i t="grand">
      <x/>
    </i>
  </rowItems>
  <colFields count="1">
    <field x="-2"/>
  </colFields>
  <colItems count="6">
    <i>
      <x/>
    </i>
    <i i="1">
      <x v="1"/>
    </i>
    <i i="2">
      <x v="2"/>
    </i>
    <i i="3">
      <x v="3"/>
    </i>
    <i i="4">
      <x v="4"/>
    </i>
    <i i="5">
      <x v="5"/>
    </i>
  </colItems>
  <dataFields count="6">
    <dataField name="Sum of Current prices" fld="6" baseField="0" baseItem="0"/>
    <dataField name="Sum of Old prices" fld="7" baseField="0" baseItem="0"/>
    <dataField name="Sum of Discounts" fld="8" baseField="0" baseItem="0"/>
    <dataField name="Count of Ratings" fld="4" subtotal="count" baseField="0" baseItem="0"/>
    <dataField name="Average of Rating" fld="9" subtotal="average" baseField="0" baseItem="0"/>
    <dataField name="Count of Review" fld="5"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filters count="1">
    <filter fld="0" type="count" evalOrder="-1" id="17" iMeasureFld="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_Category" xr10:uid="{E3104AAE-725E-414E-AEA5-7657E02FB609}" sourceName="Rate Category">
  <pivotTables>
    <pivotTable tabId="2" name="PivotTable1"/>
  </pivotTables>
  <data>
    <tabular pivotCacheId="1447806037">
      <items count="4">
        <i x="1"/>
        <i x="0"/>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EF5D7242-2641-45CA-B2C3-D746C9468C7B}" sourceName="Discount Category">
  <pivotTables>
    <pivotTable tabId="2" name="PivotTable1"/>
  </pivotTables>
  <data>
    <tabular pivotCacheId="1447806037">
      <items count="4">
        <i x="1" s="1"/>
        <i x="2"/>
        <i x="0"/>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_Category1" xr10:uid="{5B5501FB-6855-42C6-BE51-6FBC69884FE1}" sourceName="Rate Category">
  <pivotTables>
    <pivotTable tabId="6" name="PivotTable9"/>
  </pivotTables>
  <data>
    <tabular pivotCacheId="1921809133">
      <items count="3">
        <i x="1"/>
        <i x="0"/>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517272B9-1A87-43A2-81E4-EFF0694BE622}" sourceName="Discount Category">
  <pivotTables>
    <pivotTable tabId="6" name="PivotTable9"/>
  </pivotTables>
  <data>
    <tabular pivotCacheId="1921809133">
      <items count="3">
        <i x="1"/>
        <i x="2"/>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reviews" xr10:uid="{C457A73D-C582-4290-801D-798FF67DD443}" sourceName="Cleanreviews">
  <pivotTables>
    <pivotTable tabId="6" name="PivotTable9"/>
  </pivotTables>
  <data>
    <tabular pivotCacheId="1921809133">
      <items count="24">
        <i x="14" s="1"/>
        <i x="9" s="1"/>
        <i x="22" s="1"/>
        <i x="18" s="1" nd="1"/>
        <i x="0" s="1" nd="1"/>
        <i x="11" s="1" nd="1"/>
        <i x="4" s="1" nd="1"/>
        <i x="3" s="1" nd="1"/>
        <i x="10" s="1" nd="1"/>
        <i x="20" s="1" nd="1"/>
        <i x="7" s="1" nd="1"/>
        <i x="13" s="1" nd="1"/>
        <i x="1" s="1" nd="1"/>
        <i x="5" s="1" nd="1"/>
        <i x="23" s="1" nd="1"/>
        <i x="16" s="1" nd="1"/>
        <i x="2" s="1" nd="1"/>
        <i x="17" s="1" nd="1"/>
        <i x="19" s="1" nd="1"/>
        <i x="8" s="1" nd="1"/>
        <i x="12" s="1" nd="1"/>
        <i x="15" s="1" nd="1"/>
        <i x="6" s="1" nd="1"/>
        <i x="2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_Category2" xr10:uid="{E191C36C-2538-4A59-A1D4-5B3423254152}" sourceName="Rate Category">
  <pivotTables>
    <pivotTable tabId="5" name="PivotTable8"/>
  </pivotTables>
  <data>
    <tabular pivotCacheId="1363482861">
      <items count="3">
        <i x="1" s="1"/>
        <i x="0"/>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2" xr10:uid="{5801FE47-BFE9-4C75-9F03-435C4F20E9BA}" sourceName="Discount Category">
  <pivotTables>
    <pivotTable tabId="5" name="PivotTable8"/>
  </pivotTables>
  <data>
    <tabular pivotCacheId="1363482861">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e Category 3" xr10:uid="{F7B26B4B-9FE7-4436-91B4-1562D1749C0F}" cache="Slicer_Rate_Category" caption="Rate Category" rowHeight="241300"/>
  <slicer name="Discount Category 3" xr10:uid="{FFD5AA39-B6B8-442E-A6B7-20AEDF700962}" cache="Slicer_Discount_Category" caption="Discount Category" rowHeight="241300"/>
  <slicer name="Rate Category 4" xr10:uid="{CB4C3031-E33F-4CA4-B38B-F3913C01DA54}" cache="Slicer_Rate_Category1" caption="Rate Category" rowHeight="241300"/>
  <slicer name="Discount Category 4" xr10:uid="{037984D7-96F1-4378-8646-0DEC57E70C1C}" cache="Slicer_Discount_Category1" caption="Discount Category" rowHeight="241300"/>
  <slicer name="Rate Category 5" xr10:uid="{63AF4DC8-A23E-4398-883D-151572AEBB68}" cache="Slicer_Rate_Category2" caption="Rate Category" rowHeight="241300"/>
  <slicer name="Discount Category 5" xr10:uid="{C1515F01-4486-46DA-9C52-5815E044531F}" cache="Slicer_Discount_Category2"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e Category 1" xr10:uid="{C1F2FE31-CE36-463A-AD62-EF21FD48B4EF}" cache="Slicer_Rate_Category1" caption="Rate Category" rowHeight="241300"/>
  <slicer name="Discount Category 1" xr10:uid="{EE7882A9-927E-4B38-9035-E31DF4FC7F3C}" cache="Slicer_Discount_Category1" caption="Discount Category" rowHeight="241300"/>
  <slicer name="Cleanreviews" xr10:uid="{4B03F4B5-9075-41E9-B5FC-F5D1E07581E7}" cache="Slicer_Cleanreviews" caption="Cleanreview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e Category 2" xr10:uid="{64C14704-156A-4845-92CF-612DB7A5C882}" cache="Slicer_Rate_Category2" caption="Rate Category" rowHeight="241300"/>
  <slicer name="Discount Category 2" xr10:uid="{5B66CDCE-4698-474E-84F0-5B014DDE4241}" cache="Slicer_Discount_Category2" caption="Discount 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e Category" xr10:uid="{852813D2-42D4-4562-AD59-F243BAF2B156}" cache="Slicer_Rate_Category" caption="Rate Category" rowHeight="241300"/>
  <slicer name="Discount Category" xr10:uid="{CC5F60C9-67C4-43BB-916E-B4C5949F7512}" cache="Slicer_Discount_Category" caption="Discount Category" rowHeight="24130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4075-BD10-473F-B9D1-0B2ADEADF46E}">
  <dimension ref="C2:O97"/>
  <sheetViews>
    <sheetView showGridLines="0" tabSelected="1" topLeftCell="B1" zoomScale="77" zoomScaleNormal="77" workbookViewId="0">
      <selection activeCell="G9" sqref="G9"/>
    </sheetView>
  </sheetViews>
  <sheetFormatPr defaultRowHeight="16.5" x14ac:dyDescent="0.3"/>
  <cols>
    <col min="1" max="1" width="13.625" style="8" customWidth="1"/>
    <col min="2" max="2" width="16.5" style="8" customWidth="1"/>
    <col min="3" max="3" width="13.75" style="8" bestFit="1" customWidth="1"/>
    <col min="4" max="4" width="12.625" style="8" bestFit="1" customWidth="1"/>
    <col min="5" max="9" width="9" style="8"/>
    <col min="10" max="10" width="17.25" style="8" customWidth="1"/>
    <col min="11" max="11" width="16.5" style="8" customWidth="1"/>
    <col min="12" max="12" width="17.25" style="8" customWidth="1"/>
    <col min="13" max="13" width="16.5" style="8" customWidth="1"/>
    <col min="14" max="14" width="16.625" style="8" customWidth="1"/>
    <col min="15" max="15" width="15.875" style="8" customWidth="1"/>
    <col min="16" max="16384" width="9" style="8"/>
  </cols>
  <sheetData>
    <row r="2" spans="3:4" x14ac:dyDescent="0.3">
      <c r="C2" s="10" t="s">
        <v>350</v>
      </c>
      <c r="D2" s="10">
        <f>COUNTA(Main!B:B) - 1</f>
        <v>114</v>
      </c>
    </row>
    <row r="3" spans="3:4" x14ac:dyDescent="0.3">
      <c r="C3" s="10" t="s">
        <v>352</v>
      </c>
      <c r="D3" s="11">
        <f>AVERAGE(Main!K:K)</f>
        <v>1.9794642857142852</v>
      </c>
    </row>
    <row r="4" spans="3:4" x14ac:dyDescent="0.3">
      <c r="C4" s="10" t="s">
        <v>353</v>
      </c>
      <c r="D4" s="11">
        <f>AVERAGE(Main!J:J)</f>
        <v>621.35714285714289</v>
      </c>
    </row>
    <row r="5" spans="3:4" x14ac:dyDescent="0.3">
      <c r="C5" s="10" t="s">
        <v>351</v>
      </c>
      <c r="D5" s="10">
        <f>SUM(Main!N:N)</f>
        <v>723</v>
      </c>
    </row>
    <row r="6" spans="3:4" x14ac:dyDescent="0.3">
      <c r="C6" s="9"/>
      <c r="D6" s="9"/>
    </row>
    <row r="76" spans="14:15" x14ac:dyDescent="0.3">
      <c r="N76" s="14"/>
      <c r="O76" s="14"/>
    </row>
    <row r="77" spans="14:15" x14ac:dyDescent="0.3">
      <c r="N77" s="12" t="s">
        <v>332</v>
      </c>
      <c r="O77" s="12" t="s">
        <v>354</v>
      </c>
    </row>
    <row r="78" spans="14:15" x14ac:dyDescent="0.3">
      <c r="N78" s="13" t="s">
        <v>339</v>
      </c>
      <c r="O78" s="12">
        <v>51</v>
      </c>
    </row>
    <row r="79" spans="14:15" x14ac:dyDescent="0.3">
      <c r="N79" s="13" t="s">
        <v>340</v>
      </c>
      <c r="O79" s="12">
        <v>18</v>
      </c>
    </row>
    <row r="80" spans="14:15" x14ac:dyDescent="0.3">
      <c r="N80" s="13" t="s">
        <v>338</v>
      </c>
      <c r="O80" s="12">
        <v>43</v>
      </c>
    </row>
    <row r="81" spans="13:15" x14ac:dyDescent="0.3">
      <c r="N81" s="13" t="s">
        <v>333</v>
      </c>
      <c r="O81" s="12">
        <v>112</v>
      </c>
    </row>
    <row r="91" spans="13:15" x14ac:dyDescent="0.3">
      <c r="M91" s="15"/>
      <c r="N91" s="15"/>
      <c r="O91" s="15"/>
    </row>
    <row r="92" spans="13:15" x14ac:dyDescent="0.3">
      <c r="M92" s="15"/>
      <c r="N92" s="12" t="s">
        <v>332</v>
      </c>
      <c r="O92" s="12" t="s">
        <v>354</v>
      </c>
    </row>
    <row r="93" spans="13:15" x14ac:dyDescent="0.3">
      <c r="M93" s="15"/>
      <c r="N93" s="13" t="s">
        <v>355</v>
      </c>
      <c r="O93" s="12">
        <v>22</v>
      </c>
    </row>
    <row r="94" spans="13:15" x14ac:dyDescent="0.3">
      <c r="M94" s="15"/>
      <c r="N94" s="13" t="s">
        <v>356</v>
      </c>
      <c r="O94" s="12">
        <v>23</v>
      </c>
    </row>
    <row r="95" spans="13:15" x14ac:dyDescent="0.3">
      <c r="M95" s="15"/>
      <c r="N95" s="13" t="s">
        <v>357</v>
      </c>
      <c r="O95" s="12">
        <v>67</v>
      </c>
    </row>
    <row r="96" spans="13:15" x14ac:dyDescent="0.3">
      <c r="M96" s="15"/>
      <c r="N96" s="13" t="s">
        <v>333</v>
      </c>
      <c r="O96" s="12">
        <v>112</v>
      </c>
    </row>
    <row r="97" spans="14:15" x14ac:dyDescent="0.3">
      <c r="N97" s="14"/>
      <c r="O97" s="1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C0BA-0856-4F9F-8C81-E9BE22F0EC78}">
  <dimension ref="A2:E221"/>
  <sheetViews>
    <sheetView zoomScale="70" zoomScaleNormal="70" workbookViewId="0">
      <selection activeCell="E10" sqref="E10"/>
    </sheetView>
  </sheetViews>
  <sheetFormatPr defaultRowHeight="16.5" x14ac:dyDescent="0.3"/>
  <cols>
    <col min="1" max="1" width="126.75" customWidth="1"/>
    <col min="2" max="2" width="26.625" customWidth="1"/>
    <col min="3" max="3" width="21.875" customWidth="1"/>
    <col min="4" max="4" width="21.625" customWidth="1"/>
    <col min="5" max="5" width="30" customWidth="1"/>
    <col min="6" max="6" width="23.375" customWidth="1"/>
  </cols>
  <sheetData>
    <row r="2" spans="1:5" x14ac:dyDescent="0.3">
      <c r="A2" s="4" t="s">
        <v>332</v>
      </c>
      <c r="B2" t="s">
        <v>334</v>
      </c>
      <c r="C2" t="s">
        <v>335</v>
      </c>
      <c r="D2" t="s">
        <v>336</v>
      </c>
      <c r="E2" t="s">
        <v>349</v>
      </c>
    </row>
    <row r="3" spans="1:5" x14ac:dyDescent="0.3">
      <c r="A3" s="5" t="s">
        <v>186</v>
      </c>
      <c r="B3">
        <v>445</v>
      </c>
      <c r="C3">
        <v>873</v>
      </c>
      <c r="D3">
        <v>428</v>
      </c>
      <c r="E3">
        <v>69</v>
      </c>
    </row>
    <row r="4" spans="1:5" x14ac:dyDescent="0.3">
      <c r="A4" s="6" t="s">
        <v>339</v>
      </c>
      <c r="B4">
        <v>445</v>
      </c>
      <c r="C4">
        <v>873</v>
      </c>
      <c r="D4">
        <v>428</v>
      </c>
      <c r="E4">
        <v>69</v>
      </c>
    </row>
    <row r="5" spans="1:5" x14ac:dyDescent="0.3">
      <c r="A5" s="5" t="s">
        <v>28</v>
      </c>
      <c r="B5">
        <v>2319</v>
      </c>
      <c r="C5">
        <v>3032</v>
      </c>
      <c r="D5">
        <v>713</v>
      </c>
      <c r="E5">
        <v>55</v>
      </c>
    </row>
    <row r="6" spans="1:5" x14ac:dyDescent="0.3">
      <c r="A6" s="6" t="s">
        <v>338</v>
      </c>
      <c r="B6">
        <v>2319</v>
      </c>
      <c r="C6">
        <v>3032</v>
      </c>
      <c r="D6">
        <v>713</v>
      </c>
      <c r="E6">
        <v>55</v>
      </c>
    </row>
    <row r="7" spans="1:5" x14ac:dyDescent="0.3">
      <c r="A7" s="5" t="s">
        <v>85</v>
      </c>
      <c r="B7">
        <v>420</v>
      </c>
      <c r="C7">
        <v>647</v>
      </c>
      <c r="D7">
        <v>227</v>
      </c>
      <c r="E7">
        <v>49</v>
      </c>
    </row>
    <row r="8" spans="1:5" x14ac:dyDescent="0.3">
      <c r="A8" s="6" t="s">
        <v>338</v>
      </c>
      <c r="B8">
        <v>420</v>
      </c>
      <c r="C8">
        <v>647</v>
      </c>
      <c r="D8">
        <v>227</v>
      </c>
      <c r="E8">
        <v>49</v>
      </c>
    </row>
    <row r="9" spans="1:5" x14ac:dyDescent="0.3">
      <c r="A9" s="5" t="s">
        <v>66</v>
      </c>
      <c r="B9">
        <v>998</v>
      </c>
      <c r="C9">
        <v>1966</v>
      </c>
      <c r="D9">
        <v>968</v>
      </c>
      <c r="E9">
        <v>44</v>
      </c>
    </row>
    <row r="10" spans="1:5" x14ac:dyDescent="0.3">
      <c r="A10" s="6" t="s">
        <v>339</v>
      </c>
      <c r="B10">
        <v>998</v>
      </c>
      <c r="C10">
        <v>1966</v>
      </c>
      <c r="D10">
        <v>968</v>
      </c>
      <c r="E10">
        <v>44</v>
      </c>
    </row>
    <row r="11" spans="1:5" x14ac:dyDescent="0.3">
      <c r="A11" s="5" t="s">
        <v>42</v>
      </c>
      <c r="B11">
        <v>990</v>
      </c>
      <c r="C11">
        <v>1500</v>
      </c>
      <c r="D11">
        <v>510</v>
      </c>
      <c r="E11">
        <v>39</v>
      </c>
    </row>
    <row r="12" spans="1:5" x14ac:dyDescent="0.3">
      <c r="A12" s="6" t="s">
        <v>338</v>
      </c>
      <c r="B12">
        <v>990</v>
      </c>
      <c r="C12">
        <v>1500</v>
      </c>
      <c r="D12">
        <v>510</v>
      </c>
      <c r="E12">
        <v>39</v>
      </c>
    </row>
    <row r="13" spans="1:5" x14ac:dyDescent="0.3">
      <c r="A13" s="5" t="s">
        <v>116</v>
      </c>
      <c r="B13">
        <v>389</v>
      </c>
      <c r="C13">
        <v>656</v>
      </c>
      <c r="D13">
        <v>267</v>
      </c>
      <c r="E13">
        <v>36</v>
      </c>
    </row>
    <row r="14" spans="1:5" x14ac:dyDescent="0.3">
      <c r="A14" s="6" t="s">
        <v>338</v>
      </c>
      <c r="B14">
        <v>389</v>
      </c>
      <c r="C14">
        <v>656</v>
      </c>
      <c r="D14">
        <v>267</v>
      </c>
      <c r="E14">
        <v>36</v>
      </c>
    </row>
    <row r="15" spans="1:5" x14ac:dyDescent="0.3">
      <c r="A15" s="5" t="s">
        <v>109</v>
      </c>
      <c r="B15">
        <v>1980</v>
      </c>
      <c r="C15">
        <v>2699</v>
      </c>
      <c r="D15">
        <v>719</v>
      </c>
      <c r="E15">
        <v>32</v>
      </c>
    </row>
    <row r="16" spans="1:5" x14ac:dyDescent="0.3">
      <c r="A16" s="6" t="s">
        <v>338</v>
      </c>
      <c r="B16">
        <v>1980</v>
      </c>
      <c r="C16">
        <v>2699</v>
      </c>
      <c r="D16">
        <v>719</v>
      </c>
      <c r="E16">
        <v>32</v>
      </c>
    </row>
    <row r="17" spans="1:5" x14ac:dyDescent="0.3">
      <c r="A17" s="5" t="s">
        <v>13</v>
      </c>
      <c r="B17">
        <v>2199</v>
      </c>
      <c r="C17">
        <v>2923</v>
      </c>
      <c r="D17">
        <v>724</v>
      </c>
      <c r="E17">
        <v>24</v>
      </c>
    </row>
    <row r="18" spans="1:5" x14ac:dyDescent="0.3">
      <c r="A18" s="6" t="s">
        <v>338</v>
      </c>
      <c r="B18">
        <v>2199</v>
      </c>
      <c r="C18">
        <v>2923</v>
      </c>
      <c r="D18">
        <v>724</v>
      </c>
      <c r="E18">
        <v>24</v>
      </c>
    </row>
    <row r="19" spans="1:5" x14ac:dyDescent="0.3">
      <c r="A19" s="5" t="s">
        <v>106</v>
      </c>
      <c r="B19">
        <v>1940</v>
      </c>
      <c r="C19">
        <v>2650</v>
      </c>
      <c r="D19">
        <v>710</v>
      </c>
      <c r="E19">
        <v>20</v>
      </c>
    </row>
    <row r="20" spans="1:5" x14ac:dyDescent="0.3">
      <c r="A20" s="6" t="s">
        <v>338</v>
      </c>
      <c r="B20">
        <v>1940</v>
      </c>
      <c r="C20">
        <v>2650</v>
      </c>
      <c r="D20">
        <v>710</v>
      </c>
      <c r="E20">
        <v>20</v>
      </c>
    </row>
    <row r="21" spans="1:5" x14ac:dyDescent="0.3">
      <c r="A21" s="5" t="s">
        <v>93</v>
      </c>
      <c r="B21">
        <v>1758</v>
      </c>
      <c r="C21">
        <v>2499</v>
      </c>
      <c r="D21">
        <v>741</v>
      </c>
      <c r="E21">
        <v>20</v>
      </c>
    </row>
    <row r="22" spans="1:5" x14ac:dyDescent="0.3">
      <c r="A22" s="6" t="s">
        <v>338</v>
      </c>
      <c r="B22">
        <v>1758</v>
      </c>
      <c r="C22">
        <v>2499</v>
      </c>
      <c r="D22">
        <v>741</v>
      </c>
      <c r="E22">
        <v>20</v>
      </c>
    </row>
    <row r="23" spans="1:5" x14ac:dyDescent="0.3">
      <c r="A23" s="5" t="s">
        <v>207</v>
      </c>
      <c r="B23">
        <v>382</v>
      </c>
      <c r="C23">
        <v>700</v>
      </c>
      <c r="D23">
        <v>318</v>
      </c>
      <c r="E23">
        <v>17</v>
      </c>
    </row>
    <row r="24" spans="1:5" x14ac:dyDescent="0.3">
      <c r="A24" s="6" t="s">
        <v>339</v>
      </c>
      <c r="B24">
        <v>382</v>
      </c>
      <c r="C24">
        <v>700</v>
      </c>
      <c r="D24">
        <v>318</v>
      </c>
      <c r="E24">
        <v>17</v>
      </c>
    </row>
    <row r="25" spans="1:5" x14ac:dyDescent="0.3">
      <c r="A25" s="5" t="s">
        <v>194</v>
      </c>
      <c r="B25">
        <v>1220</v>
      </c>
      <c r="C25">
        <v>1555</v>
      </c>
      <c r="D25">
        <v>335</v>
      </c>
      <c r="E25">
        <v>16</v>
      </c>
    </row>
    <row r="26" spans="1:5" x14ac:dyDescent="0.3">
      <c r="A26" s="6" t="s">
        <v>338</v>
      </c>
      <c r="B26">
        <v>1220</v>
      </c>
      <c r="C26">
        <v>1555</v>
      </c>
      <c r="D26">
        <v>335</v>
      </c>
      <c r="E26">
        <v>16</v>
      </c>
    </row>
    <row r="27" spans="1:5" x14ac:dyDescent="0.3">
      <c r="A27" s="5" t="s">
        <v>190</v>
      </c>
      <c r="B27">
        <v>325</v>
      </c>
      <c r="C27">
        <v>680</v>
      </c>
      <c r="D27">
        <v>355</v>
      </c>
      <c r="E27">
        <v>15</v>
      </c>
    </row>
    <row r="28" spans="1:5" x14ac:dyDescent="0.3">
      <c r="A28" s="6" t="s">
        <v>339</v>
      </c>
      <c r="B28">
        <v>325</v>
      </c>
      <c r="C28">
        <v>680</v>
      </c>
      <c r="D28">
        <v>355</v>
      </c>
      <c r="E28">
        <v>15</v>
      </c>
    </row>
    <row r="29" spans="1:5" x14ac:dyDescent="0.3">
      <c r="A29" s="5" t="s">
        <v>310</v>
      </c>
      <c r="B29">
        <v>2999</v>
      </c>
      <c r="C29">
        <v>3290</v>
      </c>
      <c r="D29">
        <v>291</v>
      </c>
      <c r="E29">
        <v>15</v>
      </c>
    </row>
    <row r="30" spans="1:5" x14ac:dyDescent="0.3">
      <c r="A30" s="6" t="s">
        <v>340</v>
      </c>
      <c r="B30">
        <v>2999</v>
      </c>
      <c r="C30">
        <v>3290</v>
      </c>
      <c r="D30">
        <v>291</v>
      </c>
      <c r="E30">
        <v>15</v>
      </c>
    </row>
    <row r="31" spans="1:5" x14ac:dyDescent="0.3">
      <c r="A31" s="5" t="s">
        <v>9</v>
      </c>
      <c r="B31">
        <v>527</v>
      </c>
      <c r="C31">
        <v>999</v>
      </c>
      <c r="D31">
        <v>472</v>
      </c>
      <c r="E31">
        <v>14</v>
      </c>
    </row>
    <row r="32" spans="1:5" x14ac:dyDescent="0.3">
      <c r="A32" s="6" t="s">
        <v>339</v>
      </c>
      <c r="B32">
        <v>527</v>
      </c>
      <c r="C32">
        <v>999</v>
      </c>
      <c r="D32">
        <v>472</v>
      </c>
      <c r="E32">
        <v>14</v>
      </c>
    </row>
    <row r="33" spans="1:5" x14ac:dyDescent="0.3">
      <c r="A33" s="5" t="s">
        <v>77</v>
      </c>
      <c r="B33">
        <v>1650</v>
      </c>
      <c r="C33">
        <v>2150</v>
      </c>
      <c r="D33">
        <v>500</v>
      </c>
      <c r="E33">
        <v>14</v>
      </c>
    </row>
    <row r="34" spans="1:5" x14ac:dyDescent="0.3">
      <c r="A34" s="6" t="s">
        <v>338</v>
      </c>
      <c r="B34">
        <v>1650</v>
      </c>
      <c r="C34">
        <v>2150</v>
      </c>
      <c r="D34">
        <v>500</v>
      </c>
      <c r="E34">
        <v>14</v>
      </c>
    </row>
    <row r="35" spans="1:5" x14ac:dyDescent="0.3">
      <c r="A35" s="5" t="s">
        <v>91</v>
      </c>
      <c r="B35">
        <v>1350</v>
      </c>
      <c r="C35">
        <v>1990</v>
      </c>
      <c r="D35">
        <v>640</v>
      </c>
      <c r="E35">
        <v>13</v>
      </c>
    </row>
    <row r="36" spans="1:5" x14ac:dyDescent="0.3">
      <c r="A36" s="6" t="s">
        <v>338</v>
      </c>
      <c r="B36">
        <v>1350</v>
      </c>
      <c r="C36">
        <v>1990</v>
      </c>
      <c r="D36">
        <v>640</v>
      </c>
      <c r="E36">
        <v>13</v>
      </c>
    </row>
    <row r="37" spans="1:5" x14ac:dyDescent="0.3">
      <c r="A37" s="5" t="s">
        <v>69</v>
      </c>
      <c r="B37">
        <v>38</v>
      </c>
      <c r="C37">
        <v>80</v>
      </c>
      <c r="D37">
        <v>42</v>
      </c>
      <c r="E37">
        <v>13</v>
      </c>
    </row>
    <row r="38" spans="1:5" x14ac:dyDescent="0.3">
      <c r="A38" s="6" t="s">
        <v>339</v>
      </c>
      <c r="B38">
        <v>38</v>
      </c>
      <c r="C38">
        <v>80</v>
      </c>
      <c r="D38">
        <v>42</v>
      </c>
      <c r="E38">
        <v>13</v>
      </c>
    </row>
    <row r="39" spans="1:5" x14ac:dyDescent="0.3">
      <c r="A39" s="5" t="s">
        <v>182</v>
      </c>
      <c r="B39">
        <v>2115</v>
      </c>
      <c r="C39">
        <v>4700</v>
      </c>
      <c r="D39">
        <v>2585</v>
      </c>
      <c r="E39">
        <v>13</v>
      </c>
    </row>
    <row r="40" spans="1:5" x14ac:dyDescent="0.3">
      <c r="A40" s="6" t="s">
        <v>339</v>
      </c>
      <c r="B40">
        <v>2115</v>
      </c>
      <c r="C40">
        <v>4700</v>
      </c>
      <c r="D40">
        <v>2585</v>
      </c>
      <c r="E40">
        <v>13</v>
      </c>
    </row>
    <row r="41" spans="1:5" x14ac:dyDescent="0.3">
      <c r="A41" s="5" t="s">
        <v>45</v>
      </c>
      <c r="B41">
        <v>552</v>
      </c>
      <c r="C41">
        <v>1035</v>
      </c>
      <c r="D41">
        <v>483</v>
      </c>
      <c r="E41">
        <v>12</v>
      </c>
    </row>
    <row r="42" spans="1:5" x14ac:dyDescent="0.3">
      <c r="A42" s="6" t="s">
        <v>339</v>
      </c>
      <c r="B42">
        <v>552</v>
      </c>
      <c r="C42">
        <v>1035</v>
      </c>
      <c r="D42">
        <v>483</v>
      </c>
      <c r="E42">
        <v>12</v>
      </c>
    </row>
    <row r="43" spans="1:5" x14ac:dyDescent="0.3">
      <c r="A43" s="5" t="s">
        <v>88</v>
      </c>
      <c r="B43">
        <v>2880</v>
      </c>
      <c r="C43">
        <v>3520</v>
      </c>
      <c r="D43">
        <v>640</v>
      </c>
      <c r="E43">
        <v>12</v>
      </c>
    </row>
    <row r="44" spans="1:5" x14ac:dyDescent="0.3">
      <c r="A44" s="6" t="s">
        <v>340</v>
      </c>
      <c r="B44">
        <v>2880</v>
      </c>
      <c r="C44">
        <v>3520</v>
      </c>
      <c r="D44">
        <v>640</v>
      </c>
      <c r="E44">
        <v>12</v>
      </c>
    </row>
    <row r="45" spans="1:5" x14ac:dyDescent="0.3">
      <c r="A45" s="5" t="s">
        <v>40</v>
      </c>
      <c r="B45">
        <v>799</v>
      </c>
      <c r="C45">
        <v>999</v>
      </c>
      <c r="D45">
        <v>200</v>
      </c>
      <c r="E45">
        <v>12</v>
      </c>
    </row>
    <row r="46" spans="1:5" x14ac:dyDescent="0.3">
      <c r="A46" s="6" t="s">
        <v>338</v>
      </c>
      <c r="B46">
        <v>799</v>
      </c>
      <c r="C46">
        <v>999</v>
      </c>
      <c r="D46">
        <v>200</v>
      </c>
      <c r="E46">
        <v>12</v>
      </c>
    </row>
    <row r="47" spans="1:5" x14ac:dyDescent="0.3">
      <c r="A47" s="5" t="s">
        <v>101</v>
      </c>
      <c r="B47">
        <v>980</v>
      </c>
      <c r="C47">
        <v>1490</v>
      </c>
      <c r="D47">
        <v>510</v>
      </c>
      <c r="E47">
        <v>12</v>
      </c>
    </row>
    <row r="48" spans="1:5" x14ac:dyDescent="0.3">
      <c r="A48" s="6" t="s">
        <v>338</v>
      </c>
      <c r="B48">
        <v>980</v>
      </c>
      <c r="C48">
        <v>1490</v>
      </c>
      <c r="D48">
        <v>510</v>
      </c>
      <c r="E48">
        <v>12</v>
      </c>
    </row>
    <row r="49" spans="1:5" x14ac:dyDescent="0.3">
      <c r="A49" s="5" t="s">
        <v>178</v>
      </c>
      <c r="B49">
        <v>458</v>
      </c>
      <c r="C49">
        <v>986</v>
      </c>
      <c r="D49">
        <v>528</v>
      </c>
      <c r="E49">
        <v>10</v>
      </c>
    </row>
    <row r="50" spans="1:5" x14ac:dyDescent="0.3">
      <c r="A50" s="6" t="s">
        <v>339</v>
      </c>
      <c r="B50">
        <v>458</v>
      </c>
      <c r="C50">
        <v>986</v>
      </c>
      <c r="D50">
        <v>528</v>
      </c>
      <c r="E50">
        <v>10</v>
      </c>
    </row>
    <row r="51" spans="1:5" x14ac:dyDescent="0.3">
      <c r="A51" s="5" t="s">
        <v>98</v>
      </c>
      <c r="B51">
        <v>185</v>
      </c>
      <c r="C51">
        <v>382</v>
      </c>
      <c r="D51">
        <v>197</v>
      </c>
      <c r="E51">
        <v>9</v>
      </c>
    </row>
    <row r="52" spans="1:5" x14ac:dyDescent="0.3">
      <c r="A52" s="6" t="s">
        <v>339</v>
      </c>
      <c r="B52">
        <v>185</v>
      </c>
      <c r="C52">
        <v>382</v>
      </c>
      <c r="D52">
        <v>197</v>
      </c>
      <c r="E52">
        <v>9</v>
      </c>
    </row>
    <row r="53" spans="1:5" x14ac:dyDescent="0.3">
      <c r="A53" s="5" t="s">
        <v>51</v>
      </c>
      <c r="B53">
        <v>1680</v>
      </c>
      <c r="C53">
        <v>2499</v>
      </c>
      <c r="D53">
        <v>819</v>
      </c>
      <c r="E53">
        <v>9</v>
      </c>
    </row>
    <row r="54" spans="1:5" x14ac:dyDescent="0.3">
      <c r="A54" s="6" t="s">
        <v>338</v>
      </c>
      <c r="B54">
        <v>1680</v>
      </c>
      <c r="C54">
        <v>2499</v>
      </c>
      <c r="D54">
        <v>819</v>
      </c>
      <c r="E54">
        <v>9</v>
      </c>
    </row>
    <row r="55" spans="1:5" x14ac:dyDescent="0.3">
      <c r="A55" s="5" t="s">
        <v>313</v>
      </c>
      <c r="B55">
        <v>1820</v>
      </c>
      <c r="C55">
        <v>3490</v>
      </c>
      <c r="D55">
        <v>1670</v>
      </c>
      <c r="E55">
        <v>9</v>
      </c>
    </row>
    <row r="56" spans="1:5" x14ac:dyDescent="0.3">
      <c r="A56" s="6" t="s">
        <v>339</v>
      </c>
      <c r="B56">
        <v>1820</v>
      </c>
      <c r="C56">
        <v>3490</v>
      </c>
      <c r="D56">
        <v>1670</v>
      </c>
      <c r="E56">
        <v>9</v>
      </c>
    </row>
    <row r="57" spans="1:5" x14ac:dyDescent="0.3">
      <c r="A57" s="5" t="s">
        <v>81</v>
      </c>
      <c r="B57">
        <v>2048</v>
      </c>
      <c r="C57">
        <v>4500</v>
      </c>
      <c r="D57">
        <v>2452</v>
      </c>
      <c r="E57">
        <v>7</v>
      </c>
    </row>
    <row r="58" spans="1:5" x14ac:dyDescent="0.3">
      <c r="A58" s="6" t="s">
        <v>339</v>
      </c>
      <c r="B58">
        <v>2048</v>
      </c>
      <c r="C58">
        <v>4500</v>
      </c>
      <c r="D58">
        <v>2452</v>
      </c>
      <c r="E58">
        <v>7</v>
      </c>
    </row>
    <row r="59" spans="1:5" x14ac:dyDescent="0.3">
      <c r="A59" s="5" t="s">
        <v>201</v>
      </c>
      <c r="B59">
        <v>1000</v>
      </c>
      <c r="C59">
        <v>2000</v>
      </c>
      <c r="D59">
        <v>1000</v>
      </c>
      <c r="E59">
        <v>7</v>
      </c>
    </row>
    <row r="60" spans="1:5" x14ac:dyDescent="0.3">
      <c r="A60" s="6" t="s">
        <v>339</v>
      </c>
      <c r="B60">
        <v>1000</v>
      </c>
      <c r="C60">
        <v>2000</v>
      </c>
      <c r="D60">
        <v>1000</v>
      </c>
      <c r="E60">
        <v>7</v>
      </c>
    </row>
    <row r="61" spans="1:5" x14ac:dyDescent="0.3">
      <c r="A61" s="5" t="s">
        <v>318</v>
      </c>
      <c r="B61">
        <v>1570</v>
      </c>
      <c r="C61">
        <v>2988</v>
      </c>
      <c r="D61">
        <v>1418</v>
      </c>
      <c r="E61">
        <v>7</v>
      </c>
    </row>
    <row r="62" spans="1:5" x14ac:dyDescent="0.3">
      <c r="A62" s="6" t="s">
        <v>339</v>
      </c>
      <c r="B62">
        <v>1570</v>
      </c>
      <c r="C62">
        <v>2988</v>
      </c>
      <c r="D62">
        <v>1418</v>
      </c>
      <c r="E62">
        <v>7</v>
      </c>
    </row>
    <row r="63" spans="1:5" x14ac:dyDescent="0.3">
      <c r="A63" s="5" t="s">
        <v>17</v>
      </c>
      <c r="B63">
        <v>1580</v>
      </c>
      <c r="C63">
        <v>2499</v>
      </c>
      <c r="D63">
        <v>919</v>
      </c>
      <c r="E63">
        <v>7</v>
      </c>
    </row>
    <row r="64" spans="1:5" x14ac:dyDescent="0.3">
      <c r="A64" s="6" t="s">
        <v>338</v>
      </c>
      <c r="B64">
        <v>1580</v>
      </c>
      <c r="C64">
        <v>2499</v>
      </c>
      <c r="D64">
        <v>919</v>
      </c>
      <c r="E64">
        <v>7</v>
      </c>
    </row>
    <row r="65" spans="1:5" x14ac:dyDescent="0.3">
      <c r="A65" s="5" t="s">
        <v>48</v>
      </c>
      <c r="B65">
        <v>501</v>
      </c>
      <c r="C65">
        <v>860</v>
      </c>
      <c r="D65">
        <v>359</v>
      </c>
      <c r="E65">
        <v>6</v>
      </c>
    </row>
    <row r="66" spans="1:5" x14ac:dyDescent="0.3">
      <c r="A66" s="6" t="s">
        <v>338</v>
      </c>
      <c r="B66">
        <v>501</v>
      </c>
      <c r="C66">
        <v>860</v>
      </c>
      <c r="D66">
        <v>359</v>
      </c>
      <c r="E66">
        <v>6</v>
      </c>
    </row>
    <row r="67" spans="1:5" x14ac:dyDescent="0.3">
      <c r="A67" s="5" t="s">
        <v>213</v>
      </c>
      <c r="B67">
        <v>345</v>
      </c>
      <c r="C67">
        <v>602</v>
      </c>
      <c r="D67">
        <v>257</v>
      </c>
      <c r="E67">
        <v>6</v>
      </c>
    </row>
    <row r="68" spans="1:5" x14ac:dyDescent="0.3">
      <c r="A68" s="6" t="s">
        <v>338</v>
      </c>
      <c r="B68">
        <v>345</v>
      </c>
      <c r="C68">
        <v>602</v>
      </c>
      <c r="D68">
        <v>257</v>
      </c>
      <c r="E68">
        <v>6</v>
      </c>
    </row>
    <row r="69" spans="1:5" x14ac:dyDescent="0.3">
      <c r="A69" s="5" t="s">
        <v>198</v>
      </c>
      <c r="B69">
        <v>990</v>
      </c>
      <c r="C69">
        <v>1814</v>
      </c>
      <c r="D69">
        <v>824</v>
      </c>
      <c r="E69">
        <v>6</v>
      </c>
    </row>
    <row r="70" spans="1:5" x14ac:dyDescent="0.3">
      <c r="A70" s="6" t="s">
        <v>339</v>
      </c>
      <c r="B70">
        <v>990</v>
      </c>
      <c r="C70">
        <v>1814</v>
      </c>
      <c r="D70">
        <v>824</v>
      </c>
      <c r="E70">
        <v>6</v>
      </c>
    </row>
    <row r="71" spans="1:5" x14ac:dyDescent="0.3">
      <c r="A71" s="5" t="s">
        <v>312</v>
      </c>
      <c r="B71">
        <v>880</v>
      </c>
      <c r="C71">
        <v>1350</v>
      </c>
      <c r="D71">
        <v>470</v>
      </c>
      <c r="E71">
        <v>6</v>
      </c>
    </row>
    <row r="72" spans="1:5" x14ac:dyDescent="0.3">
      <c r="A72" s="6" t="s">
        <v>338</v>
      </c>
      <c r="B72">
        <v>880</v>
      </c>
      <c r="C72">
        <v>1350</v>
      </c>
      <c r="D72">
        <v>470</v>
      </c>
      <c r="E72">
        <v>6</v>
      </c>
    </row>
    <row r="73" spans="1:5" x14ac:dyDescent="0.3">
      <c r="A73" s="5" t="s">
        <v>174</v>
      </c>
      <c r="B73">
        <v>2170</v>
      </c>
      <c r="C73">
        <v>2500</v>
      </c>
      <c r="D73">
        <v>330</v>
      </c>
      <c r="E73">
        <v>6</v>
      </c>
    </row>
    <row r="74" spans="1:5" x14ac:dyDescent="0.3">
      <c r="A74" s="6" t="s">
        <v>340</v>
      </c>
      <c r="B74">
        <v>2170</v>
      </c>
      <c r="C74">
        <v>2500</v>
      </c>
      <c r="D74">
        <v>330</v>
      </c>
      <c r="E74">
        <v>6</v>
      </c>
    </row>
    <row r="75" spans="1:5" x14ac:dyDescent="0.3">
      <c r="A75" s="5" t="s">
        <v>317</v>
      </c>
      <c r="B75">
        <v>968</v>
      </c>
      <c r="C75">
        <v>1814</v>
      </c>
      <c r="D75">
        <v>846</v>
      </c>
      <c r="E75">
        <v>6</v>
      </c>
    </row>
    <row r="76" spans="1:5" x14ac:dyDescent="0.3">
      <c r="A76" s="6" t="s">
        <v>339</v>
      </c>
      <c r="B76">
        <v>968</v>
      </c>
      <c r="C76">
        <v>1814</v>
      </c>
      <c r="D76">
        <v>846</v>
      </c>
      <c r="E76">
        <v>6</v>
      </c>
    </row>
    <row r="77" spans="1:5" x14ac:dyDescent="0.3">
      <c r="A77" s="5" t="s">
        <v>210</v>
      </c>
      <c r="B77">
        <v>2300</v>
      </c>
      <c r="C77">
        <v>3240</v>
      </c>
      <c r="D77">
        <v>940</v>
      </c>
      <c r="E77">
        <v>5</v>
      </c>
    </row>
    <row r="78" spans="1:5" x14ac:dyDescent="0.3">
      <c r="A78" s="6" t="s">
        <v>338</v>
      </c>
      <c r="B78">
        <v>2300</v>
      </c>
      <c r="C78">
        <v>3240</v>
      </c>
      <c r="D78">
        <v>940</v>
      </c>
      <c r="E78">
        <v>5</v>
      </c>
    </row>
    <row r="79" spans="1:5" x14ac:dyDescent="0.3">
      <c r="A79" s="5" t="s">
        <v>64</v>
      </c>
      <c r="B79">
        <v>2999</v>
      </c>
      <c r="C79">
        <v>3699</v>
      </c>
      <c r="D79">
        <v>700</v>
      </c>
      <c r="E79">
        <v>5</v>
      </c>
    </row>
    <row r="80" spans="1:5" x14ac:dyDescent="0.3">
      <c r="A80" s="6" t="s">
        <v>340</v>
      </c>
      <c r="B80">
        <v>2999</v>
      </c>
      <c r="C80">
        <v>3699</v>
      </c>
      <c r="D80">
        <v>700</v>
      </c>
      <c r="E80">
        <v>5</v>
      </c>
    </row>
    <row r="81" spans="1:5" x14ac:dyDescent="0.3">
      <c r="A81" s="5" t="s">
        <v>36</v>
      </c>
      <c r="B81">
        <v>1600</v>
      </c>
      <c r="C81">
        <v>2929</v>
      </c>
      <c r="D81">
        <v>1329</v>
      </c>
      <c r="E81">
        <v>5</v>
      </c>
    </row>
    <row r="82" spans="1:5" x14ac:dyDescent="0.3">
      <c r="A82" s="6" t="s">
        <v>339</v>
      </c>
      <c r="B82">
        <v>1600</v>
      </c>
      <c r="C82">
        <v>2929</v>
      </c>
      <c r="D82">
        <v>1329</v>
      </c>
      <c r="E82">
        <v>5</v>
      </c>
    </row>
    <row r="83" spans="1:5" x14ac:dyDescent="0.3">
      <c r="A83" s="5" t="s">
        <v>21</v>
      </c>
      <c r="B83">
        <v>1740</v>
      </c>
      <c r="C83">
        <v>2356</v>
      </c>
      <c r="D83">
        <v>616</v>
      </c>
      <c r="E83">
        <v>5</v>
      </c>
    </row>
    <row r="84" spans="1:5" x14ac:dyDescent="0.3">
      <c r="A84" s="6" t="s">
        <v>338</v>
      </c>
      <c r="B84">
        <v>1740</v>
      </c>
      <c r="C84">
        <v>2356</v>
      </c>
      <c r="D84">
        <v>616</v>
      </c>
      <c r="E84">
        <v>5</v>
      </c>
    </row>
    <row r="85" spans="1:5" x14ac:dyDescent="0.3">
      <c r="A85" s="5" t="s">
        <v>33</v>
      </c>
      <c r="B85">
        <v>1274</v>
      </c>
      <c r="C85">
        <v>2800</v>
      </c>
      <c r="D85">
        <v>1526</v>
      </c>
      <c r="E85">
        <v>5</v>
      </c>
    </row>
    <row r="86" spans="1:5" x14ac:dyDescent="0.3">
      <c r="A86" s="6" t="s">
        <v>339</v>
      </c>
      <c r="B86">
        <v>1274</v>
      </c>
      <c r="C86">
        <v>2800</v>
      </c>
      <c r="D86">
        <v>1526</v>
      </c>
      <c r="E86">
        <v>5</v>
      </c>
    </row>
    <row r="87" spans="1:5" x14ac:dyDescent="0.3">
      <c r="A87" s="5" t="s">
        <v>204</v>
      </c>
      <c r="B87">
        <v>3750</v>
      </c>
      <c r="C87">
        <v>6143</v>
      </c>
      <c r="D87">
        <v>2393</v>
      </c>
      <c r="E87">
        <v>5</v>
      </c>
    </row>
    <row r="88" spans="1:5" x14ac:dyDescent="0.3">
      <c r="A88" s="6" t="s">
        <v>338</v>
      </c>
      <c r="B88">
        <v>3750</v>
      </c>
      <c r="C88">
        <v>6143</v>
      </c>
      <c r="D88">
        <v>2393</v>
      </c>
      <c r="E88">
        <v>5</v>
      </c>
    </row>
    <row r="89" spans="1:5" x14ac:dyDescent="0.3">
      <c r="A89" s="5" t="s">
        <v>216</v>
      </c>
      <c r="B89">
        <v>509</v>
      </c>
      <c r="C89">
        <v>899</v>
      </c>
      <c r="D89">
        <v>390</v>
      </c>
      <c r="E89">
        <v>5</v>
      </c>
    </row>
    <row r="90" spans="1:5" x14ac:dyDescent="0.3">
      <c r="A90" s="6" t="s">
        <v>338</v>
      </c>
      <c r="B90">
        <v>509</v>
      </c>
      <c r="C90">
        <v>899</v>
      </c>
      <c r="D90">
        <v>390</v>
      </c>
      <c r="E90">
        <v>5</v>
      </c>
    </row>
    <row r="91" spans="1:5" x14ac:dyDescent="0.3">
      <c r="A91" s="5" t="s">
        <v>61</v>
      </c>
      <c r="B91">
        <v>2025</v>
      </c>
      <c r="C91">
        <v>3971</v>
      </c>
      <c r="D91">
        <v>1946</v>
      </c>
      <c r="E91">
        <v>3</v>
      </c>
    </row>
    <row r="92" spans="1:5" x14ac:dyDescent="0.3">
      <c r="A92" s="6" t="s">
        <v>339</v>
      </c>
      <c r="B92">
        <v>2025</v>
      </c>
      <c r="C92">
        <v>3971</v>
      </c>
      <c r="D92">
        <v>1946</v>
      </c>
      <c r="E92">
        <v>3</v>
      </c>
    </row>
    <row r="93" spans="1:5" x14ac:dyDescent="0.3">
      <c r="A93" s="5" t="s">
        <v>31</v>
      </c>
      <c r="B93">
        <v>988</v>
      </c>
      <c r="C93">
        <v>1580</v>
      </c>
      <c r="D93">
        <v>592</v>
      </c>
      <c r="E93">
        <v>2</v>
      </c>
    </row>
    <row r="94" spans="1:5" x14ac:dyDescent="0.3">
      <c r="A94" s="6" t="s">
        <v>338</v>
      </c>
      <c r="B94">
        <v>988</v>
      </c>
      <c r="C94">
        <v>1580</v>
      </c>
      <c r="D94">
        <v>592</v>
      </c>
      <c r="E94">
        <v>2</v>
      </c>
    </row>
    <row r="95" spans="1:5" x14ac:dyDescent="0.3">
      <c r="A95" s="5" t="s">
        <v>54</v>
      </c>
      <c r="B95">
        <v>332</v>
      </c>
      <c r="C95">
        <v>684</v>
      </c>
      <c r="D95">
        <v>352</v>
      </c>
      <c r="E95">
        <v>2</v>
      </c>
    </row>
    <row r="96" spans="1:5" x14ac:dyDescent="0.3">
      <c r="A96" s="6" t="s">
        <v>339</v>
      </c>
      <c r="B96">
        <v>332</v>
      </c>
      <c r="C96">
        <v>684</v>
      </c>
      <c r="D96">
        <v>352</v>
      </c>
      <c r="E96">
        <v>2</v>
      </c>
    </row>
    <row r="97" spans="1:5" x14ac:dyDescent="0.3">
      <c r="A97" s="5" t="s">
        <v>114</v>
      </c>
      <c r="B97">
        <v>171</v>
      </c>
      <c r="C97">
        <v>360</v>
      </c>
      <c r="D97">
        <v>189</v>
      </c>
      <c r="E97">
        <v>2</v>
      </c>
    </row>
    <row r="98" spans="1:5" x14ac:dyDescent="0.3">
      <c r="A98" s="6" t="s">
        <v>339</v>
      </c>
      <c r="B98">
        <v>171</v>
      </c>
      <c r="C98">
        <v>360</v>
      </c>
      <c r="D98">
        <v>189</v>
      </c>
      <c r="E98">
        <v>2</v>
      </c>
    </row>
    <row r="99" spans="1:5" x14ac:dyDescent="0.3">
      <c r="A99" s="5" t="s">
        <v>58</v>
      </c>
      <c r="B99">
        <v>195</v>
      </c>
      <c r="C99">
        <v>360</v>
      </c>
      <c r="D99">
        <v>165</v>
      </c>
      <c r="E99">
        <v>2</v>
      </c>
    </row>
    <row r="100" spans="1:5" x14ac:dyDescent="0.3">
      <c r="A100" s="6" t="s">
        <v>339</v>
      </c>
      <c r="B100">
        <v>195</v>
      </c>
      <c r="C100">
        <v>360</v>
      </c>
      <c r="D100">
        <v>165</v>
      </c>
      <c r="E100">
        <v>2</v>
      </c>
    </row>
    <row r="101" spans="1:5" x14ac:dyDescent="0.3">
      <c r="A101" s="5" t="s">
        <v>315</v>
      </c>
      <c r="B101">
        <v>1620</v>
      </c>
      <c r="C101">
        <v>2200</v>
      </c>
      <c r="D101">
        <v>580</v>
      </c>
      <c r="E101">
        <v>2</v>
      </c>
    </row>
    <row r="102" spans="1:5" x14ac:dyDescent="0.3">
      <c r="A102" s="6" t="s">
        <v>338</v>
      </c>
      <c r="B102">
        <v>1620</v>
      </c>
      <c r="C102">
        <v>2200</v>
      </c>
      <c r="D102">
        <v>580</v>
      </c>
      <c r="E102">
        <v>2</v>
      </c>
    </row>
    <row r="103" spans="1:5" x14ac:dyDescent="0.3">
      <c r="A103" s="5" t="s">
        <v>5</v>
      </c>
      <c r="B103">
        <v>950</v>
      </c>
      <c r="C103">
        <v>1525</v>
      </c>
      <c r="D103">
        <v>575</v>
      </c>
      <c r="E103">
        <v>2</v>
      </c>
    </row>
    <row r="104" spans="1:5" x14ac:dyDescent="0.3">
      <c r="A104" s="6" t="s">
        <v>338</v>
      </c>
      <c r="B104">
        <v>950</v>
      </c>
      <c r="C104">
        <v>1525</v>
      </c>
      <c r="D104">
        <v>575</v>
      </c>
      <c r="E104">
        <v>2</v>
      </c>
    </row>
    <row r="105" spans="1:5" x14ac:dyDescent="0.3">
      <c r="A105" s="5" t="s">
        <v>320</v>
      </c>
      <c r="B105">
        <v>3640</v>
      </c>
      <c r="C105">
        <v>4588</v>
      </c>
      <c r="D105">
        <v>948</v>
      </c>
      <c r="E105">
        <v>1</v>
      </c>
    </row>
    <row r="106" spans="1:5" x14ac:dyDescent="0.3">
      <c r="A106" s="6" t="s">
        <v>338</v>
      </c>
      <c r="B106">
        <v>3640</v>
      </c>
      <c r="C106">
        <v>4588</v>
      </c>
      <c r="D106">
        <v>948</v>
      </c>
      <c r="E106">
        <v>1</v>
      </c>
    </row>
    <row r="107" spans="1:5" x14ac:dyDescent="0.3">
      <c r="A107" s="5" t="s">
        <v>319</v>
      </c>
      <c r="B107">
        <v>1189</v>
      </c>
      <c r="C107">
        <v>2199</v>
      </c>
      <c r="D107">
        <v>1010</v>
      </c>
      <c r="E107">
        <v>1</v>
      </c>
    </row>
    <row r="108" spans="1:5" x14ac:dyDescent="0.3">
      <c r="A108" s="6" t="s">
        <v>339</v>
      </c>
      <c r="B108">
        <v>1189</v>
      </c>
      <c r="C108">
        <v>2199</v>
      </c>
      <c r="D108">
        <v>1010</v>
      </c>
      <c r="E108">
        <v>1</v>
      </c>
    </row>
    <row r="109" spans="1:5" x14ac:dyDescent="0.3">
      <c r="A109" s="5" t="s">
        <v>314</v>
      </c>
      <c r="B109">
        <v>1620</v>
      </c>
      <c r="C109">
        <v>2690</v>
      </c>
      <c r="D109">
        <v>1070</v>
      </c>
      <c r="E109">
        <v>1</v>
      </c>
    </row>
    <row r="110" spans="1:5" x14ac:dyDescent="0.3">
      <c r="A110" s="6" t="s">
        <v>338</v>
      </c>
      <c r="B110">
        <v>1620</v>
      </c>
      <c r="C110">
        <v>2690</v>
      </c>
      <c r="D110">
        <v>1070</v>
      </c>
      <c r="E110">
        <v>1</v>
      </c>
    </row>
    <row r="111" spans="1:5" x14ac:dyDescent="0.3">
      <c r="A111" s="5" t="s">
        <v>234</v>
      </c>
      <c r="B111">
        <v>979</v>
      </c>
      <c r="C111">
        <v>1920</v>
      </c>
      <c r="D111">
        <v>941</v>
      </c>
      <c r="E111">
        <v>1</v>
      </c>
    </row>
    <row r="112" spans="1:5" x14ac:dyDescent="0.3">
      <c r="A112" s="6" t="s">
        <v>339</v>
      </c>
      <c r="B112">
        <v>979</v>
      </c>
      <c r="C112">
        <v>1920</v>
      </c>
      <c r="D112">
        <v>941</v>
      </c>
      <c r="E112">
        <v>1</v>
      </c>
    </row>
    <row r="113" spans="1:5" x14ac:dyDescent="0.3">
      <c r="A113" s="5" t="s">
        <v>242</v>
      </c>
      <c r="B113">
        <v>330</v>
      </c>
      <c r="C113">
        <v>647</v>
      </c>
      <c r="D113">
        <v>317</v>
      </c>
      <c r="E113">
        <v>1</v>
      </c>
    </row>
    <row r="114" spans="1:5" x14ac:dyDescent="0.3">
      <c r="A114" s="6" t="s">
        <v>339</v>
      </c>
      <c r="B114">
        <v>330</v>
      </c>
      <c r="C114">
        <v>647</v>
      </c>
      <c r="D114">
        <v>317</v>
      </c>
      <c r="E114">
        <v>1</v>
      </c>
    </row>
    <row r="115" spans="1:5" x14ac:dyDescent="0.3">
      <c r="A115" s="5" t="s">
        <v>305</v>
      </c>
      <c r="B115">
        <v>450</v>
      </c>
      <c r="C115">
        <v>900</v>
      </c>
      <c r="D115">
        <v>450</v>
      </c>
      <c r="E115">
        <v>1</v>
      </c>
    </row>
    <row r="116" spans="1:5" x14ac:dyDescent="0.3">
      <c r="A116" s="6" t="s">
        <v>339</v>
      </c>
      <c r="B116">
        <v>450</v>
      </c>
      <c r="C116">
        <v>900</v>
      </c>
      <c r="D116">
        <v>450</v>
      </c>
      <c r="E116">
        <v>1</v>
      </c>
    </row>
    <row r="117" spans="1:5" x14ac:dyDescent="0.3">
      <c r="A117" s="5" t="s">
        <v>152</v>
      </c>
      <c r="B117">
        <v>1660</v>
      </c>
      <c r="C117">
        <v>1699</v>
      </c>
      <c r="D117">
        <v>39</v>
      </c>
      <c r="E117">
        <v>0</v>
      </c>
    </row>
    <row r="118" spans="1:5" x14ac:dyDescent="0.3">
      <c r="A118" s="6" t="s">
        <v>340</v>
      </c>
      <c r="B118">
        <v>1660</v>
      </c>
      <c r="C118">
        <v>1699</v>
      </c>
      <c r="D118">
        <v>39</v>
      </c>
      <c r="E118">
        <v>0</v>
      </c>
    </row>
    <row r="119" spans="1:5" x14ac:dyDescent="0.3">
      <c r="A119" s="5" t="s">
        <v>281</v>
      </c>
      <c r="B119">
        <v>1080</v>
      </c>
      <c r="C119">
        <v>1874</v>
      </c>
      <c r="D119">
        <v>794</v>
      </c>
      <c r="E119">
        <v>0</v>
      </c>
    </row>
    <row r="120" spans="1:5" x14ac:dyDescent="0.3">
      <c r="A120" s="6" t="s">
        <v>338</v>
      </c>
      <c r="B120">
        <v>1080</v>
      </c>
      <c r="C120">
        <v>1874</v>
      </c>
      <c r="D120">
        <v>794</v>
      </c>
      <c r="E120">
        <v>0</v>
      </c>
    </row>
    <row r="121" spans="1:5" x14ac:dyDescent="0.3">
      <c r="A121" s="5" t="s">
        <v>263</v>
      </c>
      <c r="B121">
        <v>105</v>
      </c>
      <c r="C121">
        <v>200</v>
      </c>
      <c r="D121">
        <v>95</v>
      </c>
      <c r="E121">
        <v>0</v>
      </c>
    </row>
    <row r="122" spans="1:5" x14ac:dyDescent="0.3">
      <c r="A122" s="6" t="s">
        <v>339</v>
      </c>
      <c r="B122">
        <v>105</v>
      </c>
      <c r="C122">
        <v>200</v>
      </c>
      <c r="D122">
        <v>95</v>
      </c>
      <c r="E122">
        <v>0</v>
      </c>
    </row>
    <row r="123" spans="1:5" x14ac:dyDescent="0.3">
      <c r="A123" s="5" t="s">
        <v>288</v>
      </c>
      <c r="B123">
        <v>1875</v>
      </c>
      <c r="C123">
        <v>1899</v>
      </c>
      <c r="D123">
        <v>24</v>
      </c>
      <c r="E123">
        <v>0</v>
      </c>
    </row>
    <row r="124" spans="1:5" x14ac:dyDescent="0.3">
      <c r="A124" s="6" t="s">
        <v>340</v>
      </c>
      <c r="B124">
        <v>1875</v>
      </c>
      <c r="C124">
        <v>1899</v>
      </c>
      <c r="D124">
        <v>24</v>
      </c>
      <c r="E124">
        <v>0</v>
      </c>
    </row>
    <row r="125" spans="1:5" x14ac:dyDescent="0.3">
      <c r="A125" s="5" t="s">
        <v>321</v>
      </c>
      <c r="B125">
        <v>1420</v>
      </c>
      <c r="C125">
        <v>2420</v>
      </c>
      <c r="D125">
        <v>1000</v>
      </c>
      <c r="E125">
        <v>0</v>
      </c>
    </row>
    <row r="126" spans="1:5" x14ac:dyDescent="0.3">
      <c r="A126" s="6" t="s">
        <v>338</v>
      </c>
      <c r="B126">
        <v>1420</v>
      </c>
      <c r="C126">
        <v>2420</v>
      </c>
      <c r="D126">
        <v>1000</v>
      </c>
      <c r="E126">
        <v>0</v>
      </c>
    </row>
    <row r="127" spans="1:5" x14ac:dyDescent="0.3">
      <c r="A127" s="5" t="s">
        <v>124</v>
      </c>
      <c r="B127">
        <v>475</v>
      </c>
      <c r="C127">
        <v>931</v>
      </c>
      <c r="D127">
        <v>456</v>
      </c>
      <c r="E127">
        <v>0</v>
      </c>
    </row>
    <row r="128" spans="1:5" x14ac:dyDescent="0.3">
      <c r="A128" s="6" t="s">
        <v>339</v>
      </c>
      <c r="B128">
        <v>475</v>
      </c>
      <c r="C128">
        <v>931</v>
      </c>
      <c r="D128">
        <v>456</v>
      </c>
      <c r="E128">
        <v>0</v>
      </c>
    </row>
    <row r="129" spans="1:5" x14ac:dyDescent="0.3">
      <c r="A129" s="5" t="s">
        <v>271</v>
      </c>
      <c r="B129">
        <v>1462</v>
      </c>
      <c r="C129">
        <v>1499</v>
      </c>
      <c r="D129">
        <v>37</v>
      </c>
      <c r="E129">
        <v>0</v>
      </c>
    </row>
    <row r="130" spans="1:5" x14ac:dyDescent="0.3">
      <c r="A130" s="6" t="s">
        <v>340</v>
      </c>
      <c r="B130">
        <v>1462</v>
      </c>
      <c r="C130">
        <v>1499</v>
      </c>
      <c r="D130">
        <v>37</v>
      </c>
      <c r="E130">
        <v>0</v>
      </c>
    </row>
    <row r="131" spans="1:5" x14ac:dyDescent="0.3">
      <c r="A131" s="5" t="s">
        <v>311</v>
      </c>
      <c r="B131">
        <v>1860</v>
      </c>
      <c r="C131">
        <v>3220</v>
      </c>
      <c r="D131">
        <v>1360</v>
      </c>
      <c r="E131">
        <v>0</v>
      </c>
    </row>
    <row r="132" spans="1:5" x14ac:dyDescent="0.3">
      <c r="A132" s="6" t="s">
        <v>338</v>
      </c>
      <c r="B132">
        <v>1860</v>
      </c>
      <c r="C132">
        <v>3220</v>
      </c>
      <c r="D132">
        <v>1360</v>
      </c>
      <c r="E132">
        <v>0</v>
      </c>
    </row>
    <row r="133" spans="1:5" x14ac:dyDescent="0.3">
      <c r="A133" s="5" t="s">
        <v>301</v>
      </c>
      <c r="B133">
        <v>1768</v>
      </c>
      <c r="C133">
        <v>1799</v>
      </c>
      <c r="D133">
        <v>31</v>
      </c>
      <c r="E133">
        <v>0</v>
      </c>
    </row>
    <row r="134" spans="1:5" x14ac:dyDescent="0.3">
      <c r="A134" s="6" t="s">
        <v>340</v>
      </c>
      <c r="B134">
        <v>1768</v>
      </c>
      <c r="C134">
        <v>1799</v>
      </c>
      <c r="D134">
        <v>31</v>
      </c>
      <c r="E134">
        <v>0</v>
      </c>
    </row>
    <row r="135" spans="1:5" x14ac:dyDescent="0.3">
      <c r="A135" s="5" t="s">
        <v>267</v>
      </c>
      <c r="B135">
        <v>1200</v>
      </c>
      <c r="C135">
        <v>2400</v>
      </c>
      <c r="D135">
        <v>1200</v>
      </c>
      <c r="E135">
        <v>0</v>
      </c>
    </row>
    <row r="136" spans="1:5" x14ac:dyDescent="0.3">
      <c r="A136" s="6" t="s">
        <v>339</v>
      </c>
      <c r="B136">
        <v>1200</v>
      </c>
      <c r="C136">
        <v>2400</v>
      </c>
      <c r="D136">
        <v>1200</v>
      </c>
      <c r="E136">
        <v>0</v>
      </c>
    </row>
    <row r="137" spans="1:5" x14ac:dyDescent="0.3">
      <c r="A137" s="5" t="s">
        <v>95</v>
      </c>
      <c r="B137">
        <v>2200</v>
      </c>
      <c r="C137">
        <v>4080</v>
      </c>
      <c r="D137">
        <v>1880</v>
      </c>
      <c r="E137">
        <v>0</v>
      </c>
    </row>
    <row r="138" spans="1:5" x14ac:dyDescent="0.3">
      <c r="A138" s="6" t="s">
        <v>339</v>
      </c>
      <c r="B138">
        <v>2200</v>
      </c>
      <c r="C138">
        <v>4080</v>
      </c>
      <c r="D138">
        <v>1880</v>
      </c>
      <c r="E138">
        <v>0</v>
      </c>
    </row>
    <row r="139" spans="1:5" x14ac:dyDescent="0.3">
      <c r="A139" s="5" t="s">
        <v>143</v>
      </c>
      <c r="B139">
        <v>1200</v>
      </c>
      <c r="C139">
        <v>1950</v>
      </c>
      <c r="D139">
        <v>750</v>
      </c>
      <c r="E139">
        <v>0</v>
      </c>
    </row>
    <row r="140" spans="1:5" x14ac:dyDescent="0.3">
      <c r="A140" s="6" t="s">
        <v>338</v>
      </c>
      <c r="B140">
        <v>1200</v>
      </c>
      <c r="C140">
        <v>1950</v>
      </c>
      <c r="D140">
        <v>750</v>
      </c>
      <c r="E140">
        <v>0</v>
      </c>
    </row>
    <row r="141" spans="1:5" x14ac:dyDescent="0.3">
      <c r="A141" s="5" t="s">
        <v>250</v>
      </c>
      <c r="B141">
        <v>799</v>
      </c>
      <c r="C141">
        <v>900</v>
      </c>
      <c r="D141">
        <v>101</v>
      </c>
      <c r="E141">
        <v>0</v>
      </c>
    </row>
    <row r="142" spans="1:5" x14ac:dyDescent="0.3">
      <c r="A142" s="6" t="s">
        <v>340</v>
      </c>
      <c r="B142">
        <v>799</v>
      </c>
      <c r="C142">
        <v>900</v>
      </c>
      <c r="D142">
        <v>101</v>
      </c>
      <c r="E142">
        <v>0</v>
      </c>
    </row>
    <row r="143" spans="1:5" x14ac:dyDescent="0.3">
      <c r="A143" s="5" t="s">
        <v>297</v>
      </c>
      <c r="B143">
        <v>1190</v>
      </c>
      <c r="C143">
        <v>1810</v>
      </c>
      <c r="D143">
        <v>620</v>
      </c>
      <c r="E143">
        <v>0</v>
      </c>
    </row>
    <row r="144" spans="1:5" x14ac:dyDescent="0.3">
      <c r="A144" s="6" t="s">
        <v>338</v>
      </c>
      <c r="B144">
        <v>1190</v>
      </c>
      <c r="C144">
        <v>1810</v>
      </c>
      <c r="D144">
        <v>620</v>
      </c>
      <c r="E144">
        <v>0</v>
      </c>
    </row>
    <row r="145" spans="1:5" x14ac:dyDescent="0.3">
      <c r="A145" s="5" t="s">
        <v>225</v>
      </c>
      <c r="B145">
        <v>690</v>
      </c>
      <c r="C145">
        <v>1200</v>
      </c>
      <c r="D145">
        <v>510</v>
      </c>
      <c r="E145">
        <v>0</v>
      </c>
    </row>
    <row r="146" spans="1:5" x14ac:dyDescent="0.3">
      <c r="A146" s="6" t="s">
        <v>338</v>
      </c>
      <c r="B146">
        <v>690</v>
      </c>
      <c r="C146">
        <v>1200</v>
      </c>
      <c r="D146">
        <v>510</v>
      </c>
      <c r="E146">
        <v>0</v>
      </c>
    </row>
    <row r="147" spans="1:5" x14ac:dyDescent="0.3">
      <c r="A147" s="5" t="s">
        <v>222</v>
      </c>
      <c r="B147">
        <v>790</v>
      </c>
      <c r="C147">
        <v>1485</v>
      </c>
      <c r="D147">
        <v>695</v>
      </c>
      <c r="E147">
        <v>0</v>
      </c>
    </row>
    <row r="148" spans="1:5" x14ac:dyDescent="0.3">
      <c r="A148" s="6" t="s">
        <v>339</v>
      </c>
      <c r="B148">
        <v>790</v>
      </c>
      <c r="C148">
        <v>1485</v>
      </c>
      <c r="D148">
        <v>695</v>
      </c>
      <c r="E148">
        <v>0</v>
      </c>
    </row>
    <row r="149" spans="1:5" x14ac:dyDescent="0.3">
      <c r="A149" s="5" t="s">
        <v>261</v>
      </c>
      <c r="B149">
        <v>1300</v>
      </c>
      <c r="C149">
        <v>2500</v>
      </c>
      <c r="D149">
        <v>1200</v>
      </c>
      <c r="E149">
        <v>0</v>
      </c>
    </row>
    <row r="150" spans="1:5" x14ac:dyDescent="0.3">
      <c r="A150" s="6" t="s">
        <v>339</v>
      </c>
      <c r="B150">
        <v>1300</v>
      </c>
      <c r="C150">
        <v>2500</v>
      </c>
      <c r="D150">
        <v>1200</v>
      </c>
      <c r="E150">
        <v>0</v>
      </c>
    </row>
    <row r="151" spans="1:5" x14ac:dyDescent="0.3">
      <c r="A151" s="5" t="s">
        <v>135</v>
      </c>
      <c r="B151">
        <v>999</v>
      </c>
      <c r="C151">
        <v>2000</v>
      </c>
      <c r="D151">
        <v>1001</v>
      </c>
      <c r="E151">
        <v>0</v>
      </c>
    </row>
    <row r="152" spans="1:5" x14ac:dyDescent="0.3">
      <c r="A152" s="6" t="s">
        <v>339</v>
      </c>
      <c r="B152">
        <v>999</v>
      </c>
      <c r="C152">
        <v>2000</v>
      </c>
      <c r="D152">
        <v>1001</v>
      </c>
      <c r="E152">
        <v>0</v>
      </c>
    </row>
    <row r="153" spans="1:5" x14ac:dyDescent="0.3">
      <c r="A153" s="5" t="s">
        <v>299</v>
      </c>
      <c r="B153">
        <v>1658</v>
      </c>
      <c r="C153">
        <v>1699</v>
      </c>
      <c r="D153">
        <v>41</v>
      </c>
      <c r="E153">
        <v>0</v>
      </c>
    </row>
    <row r="154" spans="1:5" x14ac:dyDescent="0.3">
      <c r="A154" s="6" t="s">
        <v>340</v>
      </c>
      <c r="B154">
        <v>1658</v>
      </c>
      <c r="C154">
        <v>1699</v>
      </c>
      <c r="D154">
        <v>41</v>
      </c>
      <c r="E154">
        <v>0</v>
      </c>
    </row>
    <row r="155" spans="1:5" x14ac:dyDescent="0.3">
      <c r="A155" s="5" t="s">
        <v>169</v>
      </c>
      <c r="B155">
        <v>2799</v>
      </c>
      <c r="C155">
        <v>3810</v>
      </c>
      <c r="D155">
        <v>1011</v>
      </c>
      <c r="E155">
        <v>0</v>
      </c>
    </row>
    <row r="156" spans="1:5" x14ac:dyDescent="0.3">
      <c r="A156" s="6" t="s">
        <v>338</v>
      </c>
      <c r="B156">
        <v>2799</v>
      </c>
      <c r="C156">
        <v>3810</v>
      </c>
      <c r="D156">
        <v>1011</v>
      </c>
      <c r="E156">
        <v>0</v>
      </c>
    </row>
    <row r="157" spans="1:5" x14ac:dyDescent="0.3">
      <c r="A157" s="5" t="s">
        <v>258</v>
      </c>
      <c r="B157">
        <v>850</v>
      </c>
      <c r="C157">
        <v>1700</v>
      </c>
      <c r="D157">
        <v>850</v>
      </c>
      <c r="E157">
        <v>0</v>
      </c>
    </row>
    <row r="158" spans="1:5" x14ac:dyDescent="0.3">
      <c r="A158" s="6" t="s">
        <v>339</v>
      </c>
      <c r="B158">
        <v>850</v>
      </c>
      <c r="C158">
        <v>1700</v>
      </c>
      <c r="D158">
        <v>850</v>
      </c>
      <c r="E158">
        <v>0</v>
      </c>
    </row>
    <row r="159" spans="1:5" x14ac:dyDescent="0.3">
      <c r="A159" s="5" t="s">
        <v>237</v>
      </c>
      <c r="B159">
        <v>1460</v>
      </c>
      <c r="C159">
        <v>2290</v>
      </c>
      <c r="D159">
        <v>830</v>
      </c>
      <c r="E159">
        <v>0</v>
      </c>
    </row>
    <row r="160" spans="1:5" x14ac:dyDescent="0.3">
      <c r="A160" s="6" t="s">
        <v>338</v>
      </c>
      <c r="B160">
        <v>1460</v>
      </c>
      <c r="C160">
        <v>2290</v>
      </c>
      <c r="D160">
        <v>830</v>
      </c>
      <c r="E160">
        <v>0</v>
      </c>
    </row>
    <row r="161" spans="1:5" x14ac:dyDescent="0.3">
      <c r="A161" s="5" t="s">
        <v>255</v>
      </c>
      <c r="B161">
        <v>630</v>
      </c>
      <c r="C161">
        <v>1100</v>
      </c>
      <c r="D161">
        <v>470</v>
      </c>
      <c r="E161">
        <v>0</v>
      </c>
    </row>
    <row r="162" spans="1:5" x14ac:dyDescent="0.3">
      <c r="A162" s="6" t="s">
        <v>338</v>
      </c>
      <c r="B162">
        <v>630</v>
      </c>
      <c r="C162">
        <v>1100</v>
      </c>
      <c r="D162">
        <v>470</v>
      </c>
      <c r="E162">
        <v>0</v>
      </c>
    </row>
    <row r="163" spans="1:5" x14ac:dyDescent="0.3">
      <c r="A163" s="5" t="s">
        <v>165</v>
      </c>
      <c r="B163">
        <v>699</v>
      </c>
      <c r="C163">
        <v>1343</v>
      </c>
      <c r="D163">
        <v>644</v>
      </c>
      <c r="E163">
        <v>0</v>
      </c>
    </row>
    <row r="164" spans="1:5" x14ac:dyDescent="0.3">
      <c r="A164" s="6" t="s">
        <v>339</v>
      </c>
      <c r="B164">
        <v>699</v>
      </c>
      <c r="C164">
        <v>1343</v>
      </c>
      <c r="D164">
        <v>644</v>
      </c>
      <c r="E164">
        <v>0</v>
      </c>
    </row>
    <row r="165" spans="1:5" x14ac:dyDescent="0.3">
      <c r="A165" s="5" t="s">
        <v>157</v>
      </c>
      <c r="B165">
        <v>1459</v>
      </c>
      <c r="C165">
        <v>1499</v>
      </c>
      <c r="D165">
        <v>40</v>
      </c>
      <c r="E165">
        <v>0</v>
      </c>
    </row>
    <row r="166" spans="1:5" x14ac:dyDescent="0.3">
      <c r="A166" s="6" t="s">
        <v>340</v>
      </c>
      <c r="B166">
        <v>1459</v>
      </c>
      <c r="C166">
        <v>1499</v>
      </c>
      <c r="D166">
        <v>40</v>
      </c>
      <c r="E166">
        <v>0</v>
      </c>
    </row>
    <row r="167" spans="1:5" x14ac:dyDescent="0.3">
      <c r="A167" s="5" t="s">
        <v>291</v>
      </c>
      <c r="B167">
        <v>198</v>
      </c>
      <c r="C167">
        <v>260</v>
      </c>
      <c r="D167">
        <v>62</v>
      </c>
      <c r="E167">
        <v>0</v>
      </c>
    </row>
    <row r="168" spans="1:5" x14ac:dyDescent="0.3">
      <c r="A168" s="6" t="s">
        <v>338</v>
      </c>
      <c r="B168">
        <v>198</v>
      </c>
      <c r="C168">
        <v>260</v>
      </c>
      <c r="D168">
        <v>62</v>
      </c>
      <c r="E168">
        <v>0</v>
      </c>
    </row>
    <row r="169" spans="1:5" x14ac:dyDescent="0.3">
      <c r="A169" s="5" t="s">
        <v>245</v>
      </c>
      <c r="B169">
        <v>1466</v>
      </c>
      <c r="C169">
        <v>1699</v>
      </c>
      <c r="D169">
        <v>233</v>
      </c>
      <c r="E169">
        <v>0</v>
      </c>
    </row>
    <row r="170" spans="1:5" x14ac:dyDescent="0.3">
      <c r="A170" s="6" t="s">
        <v>340</v>
      </c>
      <c r="B170">
        <v>1466</v>
      </c>
      <c r="C170">
        <v>1699</v>
      </c>
      <c r="D170">
        <v>233</v>
      </c>
      <c r="E170">
        <v>0</v>
      </c>
    </row>
    <row r="171" spans="1:5" x14ac:dyDescent="0.3">
      <c r="A171" s="5" t="s">
        <v>303</v>
      </c>
      <c r="B171">
        <v>199</v>
      </c>
      <c r="C171">
        <v>553</v>
      </c>
      <c r="D171">
        <v>354</v>
      </c>
      <c r="E171">
        <v>0</v>
      </c>
    </row>
    <row r="172" spans="1:5" x14ac:dyDescent="0.3">
      <c r="A172" s="6" t="s">
        <v>339</v>
      </c>
      <c r="B172">
        <v>199</v>
      </c>
      <c r="C172">
        <v>553</v>
      </c>
      <c r="D172">
        <v>354</v>
      </c>
      <c r="E172">
        <v>0</v>
      </c>
    </row>
    <row r="173" spans="1:5" x14ac:dyDescent="0.3">
      <c r="A173" s="5" t="s">
        <v>149</v>
      </c>
      <c r="B173">
        <v>299</v>
      </c>
      <c r="C173">
        <v>600</v>
      </c>
      <c r="D173">
        <v>301</v>
      </c>
      <c r="E173">
        <v>0</v>
      </c>
    </row>
    <row r="174" spans="1:5" x14ac:dyDescent="0.3">
      <c r="A174" s="6" t="s">
        <v>339</v>
      </c>
      <c r="B174">
        <v>299</v>
      </c>
      <c r="C174">
        <v>600</v>
      </c>
      <c r="D174">
        <v>301</v>
      </c>
      <c r="E174">
        <v>0</v>
      </c>
    </row>
    <row r="175" spans="1:5" x14ac:dyDescent="0.3">
      <c r="A175" s="5" t="s">
        <v>121</v>
      </c>
      <c r="B175">
        <v>2750</v>
      </c>
      <c r="C175">
        <v>4471</v>
      </c>
      <c r="D175">
        <v>1721</v>
      </c>
      <c r="E175">
        <v>0</v>
      </c>
    </row>
    <row r="176" spans="1:5" x14ac:dyDescent="0.3">
      <c r="A176" s="6" t="s">
        <v>338</v>
      </c>
      <c r="B176">
        <v>2750</v>
      </c>
      <c r="C176">
        <v>4471</v>
      </c>
      <c r="D176">
        <v>1721</v>
      </c>
      <c r="E176">
        <v>0</v>
      </c>
    </row>
    <row r="177" spans="1:5" x14ac:dyDescent="0.3">
      <c r="A177" s="5" t="s">
        <v>155</v>
      </c>
      <c r="B177">
        <v>299</v>
      </c>
      <c r="C177">
        <v>384</v>
      </c>
      <c r="D177">
        <v>85</v>
      </c>
      <c r="E177">
        <v>0</v>
      </c>
    </row>
    <row r="178" spans="1:5" x14ac:dyDescent="0.3">
      <c r="A178" s="6" t="s">
        <v>338</v>
      </c>
      <c r="B178">
        <v>299</v>
      </c>
      <c r="C178">
        <v>384</v>
      </c>
      <c r="D178">
        <v>85</v>
      </c>
      <c r="E178">
        <v>0</v>
      </c>
    </row>
    <row r="179" spans="1:5" x14ac:dyDescent="0.3">
      <c r="A179" s="5" t="s">
        <v>266</v>
      </c>
      <c r="B179">
        <v>899</v>
      </c>
      <c r="C179">
        <v>1699</v>
      </c>
      <c r="D179">
        <v>800</v>
      </c>
      <c r="E179">
        <v>0</v>
      </c>
    </row>
    <row r="180" spans="1:5" x14ac:dyDescent="0.3">
      <c r="A180" s="6" t="s">
        <v>339</v>
      </c>
      <c r="B180">
        <v>899</v>
      </c>
      <c r="C180">
        <v>1699</v>
      </c>
      <c r="D180">
        <v>800</v>
      </c>
      <c r="E180">
        <v>0</v>
      </c>
    </row>
    <row r="181" spans="1:5" x14ac:dyDescent="0.3">
      <c r="A181" s="5" t="s">
        <v>167</v>
      </c>
      <c r="B181">
        <v>1456</v>
      </c>
      <c r="C181">
        <v>2855</v>
      </c>
      <c r="D181">
        <v>1399</v>
      </c>
      <c r="E181">
        <v>0</v>
      </c>
    </row>
    <row r="182" spans="1:5" x14ac:dyDescent="0.3">
      <c r="A182" s="6" t="s">
        <v>339</v>
      </c>
      <c r="B182">
        <v>1456</v>
      </c>
      <c r="C182">
        <v>2855</v>
      </c>
      <c r="D182">
        <v>1399</v>
      </c>
      <c r="E182">
        <v>0</v>
      </c>
    </row>
    <row r="183" spans="1:5" x14ac:dyDescent="0.3">
      <c r="A183" s="5" t="s">
        <v>269</v>
      </c>
      <c r="B183">
        <v>1526</v>
      </c>
      <c r="C183">
        <v>1660</v>
      </c>
      <c r="D183">
        <v>134</v>
      </c>
      <c r="E183">
        <v>0</v>
      </c>
    </row>
    <row r="184" spans="1:5" x14ac:dyDescent="0.3">
      <c r="A184" s="6" t="s">
        <v>340</v>
      </c>
      <c r="B184">
        <v>1526</v>
      </c>
      <c r="C184">
        <v>1660</v>
      </c>
      <c r="D184">
        <v>134</v>
      </c>
      <c r="E184">
        <v>0</v>
      </c>
    </row>
    <row r="185" spans="1:5" x14ac:dyDescent="0.3">
      <c r="A185" s="5" t="s">
        <v>160</v>
      </c>
      <c r="B185">
        <v>799</v>
      </c>
      <c r="C185">
        <v>1343</v>
      </c>
      <c r="D185">
        <v>544</v>
      </c>
      <c r="E185">
        <v>0</v>
      </c>
    </row>
    <row r="186" spans="1:5" x14ac:dyDescent="0.3">
      <c r="A186" s="6" t="s">
        <v>338</v>
      </c>
      <c r="B186">
        <v>799</v>
      </c>
      <c r="C186">
        <v>1343</v>
      </c>
      <c r="D186">
        <v>544</v>
      </c>
      <c r="E186">
        <v>0</v>
      </c>
    </row>
    <row r="187" spans="1:5" x14ac:dyDescent="0.3">
      <c r="A187" s="5" t="s">
        <v>253</v>
      </c>
      <c r="B187">
        <v>1468</v>
      </c>
      <c r="C187">
        <v>1699</v>
      </c>
      <c r="D187">
        <v>231</v>
      </c>
      <c r="E187">
        <v>0</v>
      </c>
    </row>
    <row r="188" spans="1:5" x14ac:dyDescent="0.3">
      <c r="A188" s="6" t="s">
        <v>340</v>
      </c>
      <c r="B188">
        <v>1468</v>
      </c>
      <c r="C188">
        <v>1699</v>
      </c>
      <c r="D188">
        <v>231</v>
      </c>
      <c r="E188">
        <v>0</v>
      </c>
    </row>
    <row r="189" spans="1:5" x14ac:dyDescent="0.3">
      <c r="A189" s="5" t="s">
        <v>140</v>
      </c>
      <c r="B189">
        <v>671</v>
      </c>
      <c r="C189">
        <v>1316</v>
      </c>
      <c r="D189">
        <v>645</v>
      </c>
      <c r="E189">
        <v>0</v>
      </c>
    </row>
    <row r="190" spans="1:5" x14ac:dyDescent="0.3">
      <c r="A190" s="6" t="s">
        <v>339</v>
      </c>
      <c r="B190">
        <v>671</v>
      </c>
      <c r="C190">
        <v>1316</v>
      </c>
      <c r="D190">
        <v>645</v>
      </c>
      <c r="E190">
        <v>0</v>
      </c>
    </row>
    <row r="191" spans="1:5" x14ac:dyDescent="0.3">
      <c r="A191" s="5" t="s">
        <v>307</v>
      </c>
      <c r="B191">
        <v>169</v>
      </c>
      <c r="C191">
        <v>320</v>
      </c>
      <c r="D191">
        <v>151</v>
      </c>
      <c r="E191">
        <v>0</v>
      </c>
    </row>
    <row r="192" spans="1:5" x14ac:dyDescent="0.3">
      <c r="A192" s="6" t="s">
        <v>339</v>
      </c>
      <c r="B192">
        <v>169</v>
      </c>
      <c r="C192">
        <v>320</v>
      </c>
      <c r="D192">
        <v>151</v>
      </c>
      <c r="E192">
        <v>0</v>
      </c>
    </row>
    <row r="193" spans="1:5" x14ac:dyDescent="0.3">
      <c r="A193" s="5" t="s">
        <v>132</v>
      </c>
      <c r="B193">
        <v>2132</v>
      </c>
      <c r="C193">
        <v>2169</v>
      </c>
      <c r="D193">
        <v>37</v>
      </c>
      <c r="E193">
        <v>0</v>
      </c>
    </row>
    <row r="194" spans="1:5" x14ac:dyDescent="0.3">
      <c r="A194" s="6" t="s">
        <v>340</v>
      </c>
      <c r="B194">
        <v>2132</v>
      </c>
      <c r="C194">
        <v>2169</v>
      </c>
      <c r="D194">
        <v>37</v>
      </c>
      <c r="E194">
        <v>0</v>
      </c>
    </row>
    <row r="195" spans="1:5" x14ac:dyDescent="0.3">
      <c r="A195" s="5" t="s">
        <v>273</v>
      </c>
      <c r="B195">
        <v>248</v>
      </c>
      <c r="C195">
        <v>486</v>
      </c>
      <c r="D195">
        <v>238</v>
      </c>
      <c r="E195">
        <v>0</v>
      </c>
    </row>
    <row r="196" spans="1:5" x14ac:dyDescent="0.3">
      <c r="A196" s="6" t="s">
        <v>339</v>
      </c>
      <c r="B196">
        <v>248</v>
      </c>
      <c r="C196">
        <v>486</v>
      </c>
      <c r="D196">
        <v>238</v>
      </c>
      <c r="E196">
        <v>0</v>
      </c>
    </row>
    <row r="197" spans="1:5" x14ac:dyDescent="0.3">
      <c r="A197" s="5" t="s">
        <v>162</v>
      </c>
      <c r="B197">
        <v>898</v>
      </c>
      <c r="C197">
        <v>1796</v>
      </c>
      <c r="D197">
        <v>898</v>
      </c>
      <c r="E197">
        <v>0</v>
      </c>
    </row>
    <row r="198" spans="1:5" x14ac:dyDescent="0.3">
      <c r="A198" s="6" t="s">
        <v>339</v>
      </c>
      <c r="B198">
        <v>898</v>
      </c>
      <c r="C198">
        <v>1796</v>
      </c>
      <c r="D198">
        <v>898</v>
      </c>
      <c r="E198">
        <v>0</v>
      </c>
    </row>
    <row r="199" spans="1:5" x14ac:dyDescent="0.3">
      <c r="A199" s="5" t="s">
        <v>240</v>
      </c>
      <c r="B199">
        <v>1666</v>
      </c>
      <c r="C199">
        <v>1699</v>
      </c>
      <c r="D199">
        <v>33</v>
      </c>
      <c r="E199">
        <v>0</v>
      </c>
    </row>
    <row r="200" spans="1:5" x14ac:dyDescent="0.3">
      <c r="A200" s="6" t="s">
        <v>340</v>
      </c>
      <c r="B200">
        <v>1666</v>
      </c>
      <c r="C200">
        <v>1699</v>
      </c>
      <c r="D200">
        <v>33</v>
      </c>
      <c r="E200">
        <v>0</v>
      </c>
    </row>
    <row r="201" spans="1:5" x14ac:dyDescent="0.3">
      <c r="A201" s="5" t="s">
        <v>278</v>
      </c>
      <c r="B201">
        <v>525</v>
      </c>
      <c r="C201">
        <v>1029</v>
      </c>
      <c r="D201">
        <v>504</v>
      </c>
      <c r="E201">
        <v>0</v>
      </c>
    </row>
    <row r="202" spans="1:5" x14ac:dyDescent="0.3">
      <c r="A202" s="6" t="s">
        <v>339</v>
      </c>
      <c r="B202">
        <v>525</v>
      </c>
      <c r="C202">
        <v>1029</v>
      </c>
      <c r="D202">
        <v>504</v>
      </c>
      <c r="E202">
        <v>0</v>
      </c>
    </row>
    <row r="203" spans="1:5" x14ac:dyDescent="0.3">
      <c r="A203" s="5" t="s">
        <v>276</v>
      </c>
      <c r="B203">
        <v>3546</v>
      </c>
      <c r="C203">
        <v>3699</v>
      </c>
      <c r="D203">
        <v>153</v>
      </c>
      <c r="E203">
        <v>0</v>
      </c>
    </row>
    <row r="204" spans="1:5" x14ac:dyDescent="0.3">
      <c r="A204" s="6" t="s">
        <v>340</v>
      </c>
      <c r="B204">
        <v>3546</v>
      </c>
      <c r="C204">
        <v>3699</v>
      </c>
      <c r="D204">
        <v>153</v>
      </c>
      <c r="E204">
        <v>0</v>
      </c>
    </row>
    <row r="205" spans="1:5" x14ac:dyDescent="0.3">
      <c r="A205" s="5" t="s">
        <v>247</v>
      </c>
      <c r="B205">
        <v>274</v>
      </c>
      <c r="C205">
        <v>537</v>
      </c>
      <c r="D205">
        <v>263</v>
      </c>
      <c r="E205">
        <v>0</v>
      </c>
    </row>
    <row r="206" spans="1:5" x14ac:dyDescent="0.3">
      <c r="A206" s="6" t="s">
        <v>339</v>
      </c>
      <c r="B206">
        <v>274</v>
      </c>
      <c r="C206">
        <v>537</v>
      </c>
      <c r="D206">
        <v>263</v>
      </c>
      <c r="E206">
        <v>0</v>
      </c>
    </row>
    <row r="207" spans="1:5" x14ac:dyDescent="0.3">
      <c r="A207" s="5" t="s">
        <v>127</v>
      </c>
      <c r="B207">
        <v>238</v>
      </c>
      <c r="C207">
        <v>476</v>
      </c>
      <c r="D207">
        <v>238</v>
      </c>
      <c r="E207">
        <v>0</v>
      </c>
    </row>
    <row r="208" spans="1:5" x14ac:dyDescent="0.3">
      <c r="A208" s="6" t="s">
        <v>339</v>
      </c>
      <c r="B208">
        <v>238</v>
      </c>
      <c r="C208">
        <v>476</v>
      </c>
      <c r="D208">
        <v>238</v>
      </c>
      <c r="E208">
        <v>0</v>
      </c>
    </row>
    <row r="209" spans="1:5" x14ac:dyDescent="0.3">
      <c r="A209" s="5" t="s">
        <v>137</v>
      </c>
      <c r="B209">
        <v>1190</v>
      </c>
      <c r="C209">
        <v>1785</v>
      </c>
      <c r="D209">
        <v>595</v>
      </c>
      <c r="E209">
        <v>0</v>
      </c>
    </row>
    <row r="210" spans="1:5" x14ac:dyDescent="0.3">
      <c r="A210" s="6" t="s">
        <v>338</v>
      </c>
      <c r="B210">
        <v>1190</v>
      </c>
      <c r="C210">
        <v>1785</v>
      </c>
      <c r="D210">
        <v>595</v>
      </c>
      <c r="E210">
        <v>0</v>
      </c>
    </row>
    <row r="211" spans="1:5" x14ac:dyDescent="0.3">
      <c r="A211" s="5" t="s">
        <v>316</v>
      </c>
      <c r="B211">
        <v>610</v>
      </c>
      <c r="C211">
        <v>1060</v>
      </c>
      <c r="D211">
        <v>450</v>
      </c>
      <c r="E211">
        <v>0</v>
      </c>
    </row>
    <row r="212" spans="1:5" x14ac:dyDescent="0.3">
      <c r="A212" s="6" t="s">
        <v>338</v>
      </c>
      <c r="B212">
        <v>610</v>
      </c>
      <c r="C212">
        <v>1060</v>
      </c>
      <c r="D212">
        <v>450</v>
      </c>
      <c r="E212">
        <v>0</v>
      </c>
    </row>
    <row r="213" spans="1:5" x14ac:dyDescent="0.3">
      <c r="A213" s="5" t="s">
        <v>294</v>
      </c>
      <c r="B213">
        <v>1150</v>
      </c>
      <c r="C213">
        <v>1737</v>
      </c>
      <c r="D213">
        <v>587</v>
      </c>
      <c r="E213">
        <v>0</v>
      </c>
    </row>
    <row r="214" spans="1:5" x14ac:dyDescent="0.3">
      <c r="A214" s="6" t="s">
        <v>338</v>
      </c>
      <c r="B214">
        <v>1150</v>
      </c>
      <c r="C214">
        <v>1737</v>
      </c>
      <c r="D214">
        <v>587</v>
      </c>
      <c r="E214">
        <v>0</v>
      </c>
    </row>
    <row r="215" spans="1:5" x14ac:dyDescent="0.3">
      <c r="A215" s="5" t="s">
        <v>230</v>
      </c>
      <c r="B215">
        <v>230</v>
      </c>
      <c r="C215">
        <v>450</v>
      </c>
      <c r="D215">
        <v>220</v>
      </c>
      <c r="E215">
        <v>0</v>
      </c>
    </row>
    <row r="216" spans="1:5" x14ac:dyDescent="0.3">
      <c r="A216" s="6" t="s">
        <v>339</v>
      </c>
      <c r="B216">
        <v>230</v>
      </c>
      <c r="C216">
        <v>450</v>
      </c>
      <c r="D216">
        <v>220</v>
      </c>
      <c r="E216">
        <v>0</v>
      </c>
    </row>
    <row r="217" spans="1:5" x14ac:dyDescent="0.3">
      <c r="A217" s="5" t="s">
        <v>146</v>
      </c>
      <c r="B217">
        <v>375</v>
      </c>
      <c r="C217">
        <v>849</v>
      </c>
      <c r="D217">
        <v>474</v>
      </c>
      <c r="E217">
        <v>0</v>
      </c>
    </row>
    <row r="218" spans="1:5" x14ac:dyDescent="0.3">
      <c r="A218" s="6" t="s">
        <v>339</v>
      </c>
      <c r="B218">
        <v>375</v>
      </c>
      <c r="C218">
        <v>849</v>
      </c>
      <c r="D218">
        <v>474</v>
      </c>
      <c r="E218">
        <v>0</v>
      </c>
    </row>
    <row r="219" spans="1:5" x14ac:dyDescent="0.3">
      <c r="A219" s="5" t="s">
        <v>227</v>
      </c>
      <c r="B219">
        <v>1732</v>
      </c>
      <c r="C219">
        <v>1799</v>
      </c>
      <c r="D219">
        <v>67</v>
      </c>
      <c r="E219">
        <v>0</v>
      </c>
    </row>
    <row r="220" spans="1:5" x14ac:dyDescent="0.3">
      <c r="A220" s="6" t="s">
        <v>340</v>
      </c>
      <c r="B220">
        <v>1732</v>
      </c>
      <c r="C220">
        <v>1799</v>
      </c>
      <c r="D220">
        <v>67</v>
      </c>
      <c r="E220">
        <v>0</v>
      </c>
    </row>
    <row r="221" spans="1:5" x14ac:dyDescent="0.3">
      <c r="A221" s="5" t="s">
        <v>333</v>
      </c>
      <c r="B221">
        <v>132752</v>
      </c>
      <c r="C221">
        <v>202344</v>
      </c>
      <c r="D221">
        <v>69592</v>
      </c>
      <c r="E221">
        <v>6.4553571428571432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5A98-6214-4D75-A83C-46295494CCA3}">
  <dimension ref="A2:F221"/>
  <sheetViews>
    <sheetView topLeftCell="A71" zoomScale="70" zoomScaleNormal="70" workbookViewId="0">
      <selection activeCell="B101" sqref="B101"/>
    </sheetView>
  </sheetViews>
  <sheetFormatPr defaultRowHeight="16.5" x14ac:dyDescent="0.3"/>
  <cols>
    <col min="1" max="1" width="126.75" customWidth="1"/>
    <col min="2" max="2" width="26.625" customWidth="1"/>
    <col min="3" max="3" width="21.875" customWidth="1"/>
    <col min="4" max="4" width="21.625" customWidth="1"/>
    <col min="5" max="5" width="22.375" customWidth="1"/>
    <col min="6" max="6" width="30" customWidth="1"/>
  </cols>
  <sheetData>
    <row r="2" spans="1:6" x14ac:dyDescent="0.3">
      <c r="A2" s="4" t="s">
        <v>332</v>
      </c>
      <c r="B2" t="s">
        <v>334</v>
      </c>
      <c r="C2" t="s">
        <v>335</v>
      </c>
      <c r="D2" t="s">
        <v>336</v>
      </c>
      <c r="E2" t="s">
        <v>341</v>
      </c>
      <c r="F2" t="s">
        <v>349</v>
      </c>
    </row>
    <row r="3" spans="1:6" x14ac:dyDescent="0.3">
      <c r="A3" s="5" t="s">
        <v>315</v>
      </c>
      <c r="B3">
        <v>1620</v>
      </c>
      <c r="C3">
        <v>2200</v>
      </c>
      <c r="D3">
        <v>580</v>
      </c>
      <c r="E3">
        <v>4.5</v>
      </c>
      <c r="F3">
        <v>2</v>
      </c>
    </row>
    <row r="4" spans="1:6" x14ac:dyDescent="0.3">
      <c r="A4" s="6" t="s">
        <v>338</v>
      </c>
      <c r="B4">
        <v>1620</v>
      </c>
      <c r="C4">
        <v>2200</v>
      </c>
      <c r="D4">
        <v>580</v>
      </c>
      <c r="E4">
        <v>4.5</v>
      </c>
      <c r="F4">
        <v>2</v>
      </c>
    </row>
    <row r="5" spans="1:6" x14ac:dyDescent="0.3">
      <c r="A5" s="5" t="s">
        <v>42</v>
      </c>
      <c r="B5">
        <v>990</v>
      </c>
      <c r="C5">
        <v>1500</v>
      </c>
      <c r="D5">
        <v>510</v>
      </c>
      <c r="E5">
        <v>4.7</v>
      </c>
      <c r="F5">
        <v>39</v>
      </c>
    </row>
    <row r="6" spans="1:6" x14ac:dyDescent="0.3">
      <c r="A6" s="6" t="s">
        <v>338</v>
      </c>
      <c r="B6">
        <v>990</v>
      </c>
      <c r="C6">
        <v>1500</v>
      </c>
      <c r="D6">
        <v>510</v>
      </c>
      <c r="E6">
        <v>4.7</v>
      </c>
      <c r="F6">
        <v>39</v>
      </c>
    </row>
    <row r="7" spans="1:6" x14ac:dyDescent="0.3">
      <c r="A7" s="5" t="s">
        <v>5</v>
      </c>
      <c r="B7">
        <v>950</v>
      </c>
      <c r="C7">
        <v>1525</v>
      </c>
      <c r="D7">
        <v>575</v>
      </c>
      <c r="E7">
        <v>4.5</v>
      </c>
      <c r="F7">
        <v>2</v>
      </c>
    </row>
    <row r="8" spans="1:6" x14ac:dyDescent="0.3">
      <c r="A8" s="6" t="s">
        <v>338</v>
      </c>
      <c r="B8">
        <v>950</v>
      </c>
      <c r="C8">
        <v>1525</v>
      </c>
      <c r="D8">
        <v>575</v>
      </c>
      <c r="E8">
        <v>4.5</v>
      </c>
      <c r="F8">
        <v>2</v>
      </c>
    </row>
    <row r="9" spans="1:6" x14ac:dyDescent="0.3">
      <c r="A9" s="5" t="s">
        <v>91</v>
      </c>
      <c r="B9">
        <v>1350</v>
      </c>
      <c r="C9">
        <v>1990</v>
      </c>
      <c r="D9">
        <v>640</v>
      </c>
      <c r="E9">
        <v>3.8</v>
      </c>
      <c r="F9">
        <v>13</v>
      </c>
    </row>
    <row r="10" spans="1:6" x14ac:dyDescent="0.3">
      <c r="A10" s="6" t="s">
        <v>338</v>
      </c>
      <c r="B10">
        <v>1350</v>
      </c>
      <c r="C10">
        <v>1990</v>
      </c>
      <c r="D10">
        <v>640</v>
      </c>
      <c r="E10">
        <v>3.8</v>
      </c>
      <c r="F10">
        <v>13</v>
      </c>
    </row>
    <row r="11" spans="1:6" x14ac:dyDescent="0.3">
      <c r="A11" s="5" t="s">
        <v>101</v>
      </c>
      <c r="B11">
        <v>980</v>
      </c>
      <c r="C11">
        <v>1490</v>
      </c>
      <c r="D11">
        <v>510</v>
      </c>
      <c r="E11">
        <v>4.7</v>
      </c>
      <c r="F11">
        <v>12</v>
      </c>
    </row>
    <row r="12" spans="1:6" x14ac:dyDescent="0.3">
      <c r="A12" s="6" t="s">
        <v>338</v>
      </c>
      <c r="B12">
        <v>980</v>
      </c>
      <c r="C12">
        <v>1490</v>
      </c>
      <c r="D12">
        <v>510</v>
      </c>
      <c r="E12">
        <v>4.7</v>
      </c>
      <c r="F12">
        <v>12</v>
      </c>
    </row>
    <row r="13" spans="1:6" x14ac:dyDescent="0.3">
      <c r="A13" s="5" t="s">
        <v>186</v>
      </c>
      <c r="B13">
        <v>445</v>
      </c>
      <c r="C13">
        <v>873</v>
      </c>
      <c r="D13">
        <v>428</v>
      </c>
      <c r="E13">
        <v>2.8</v>
      </c>
      <c r="F13">
        <v>69</v>
      </c>
    </row>
    <row r="14" spans="1:6" x14ac:dyDescent="0.3">
      <c r="A14" s="6" t="s">
        <v>339</v>
      </c>
      <c r="B14">
        <v>445</v>
      </c>
      <c r="C14">
        <v>873</v>
      </c>
      <c r="D14">
        <v>428</v>
      </c>
      <c r="E14">
        <v>2.8</v>
      </c>
      <c r="F14">
        <v>69</v>
      </c>
    </row>
    <row r="15" spans="1:6" x14ac:dyDescent="0.3">
      <c r="A15" s="5" t="s">
        <v>169</v>
      </c>
      <c r="B15">
        <v>2799</v>
      </c>
      <c r="C15">
        <v>3810</v>
      </c>
      <c r="D15">
        <v>1011</v>
      </c>
      <c r="E15">
        <v>0</v>
      </c>
      <c r="F15">
        <v>0</v>
      </c>
    </row>
    <row r="16" spans="1:6" x14ac:dyDescent="0.3">
      <c r="A16" s="6" t="s">
        <v>338</v>
      </c>
      <c r="B16">
        <v>2799</v>
      </c>
      <c r="C16">
        <v>3810</v>
      </c>
      <c r="D16">
        <v>1011</v>
      </c>
      <c r="E16">
        <v>0</v>
      </c>
      <c r="F16">
        <v>0</v>
      </c>
    </row>
    <row r="17" spans="1:6" x14ac:dyDescent="0.3">
      <c r="A17" s="5" t="s">
        <v>36</v>
      </c>
      <c r="B17">
        <v>1600</v>
      </c>
      <c r="C17">
        <v>2929</v>
      </c>
      <c r="D17">
        <v>1329</v>
      </c>
      <c r="E17">
        <v>3.8</v>
      </c>
      <c r="F17">
        <v>5</v>
      </c>
    </row>
    <row r="18" spans="1:6" x14ac:dyDescent="0.3">
      <c r="A18" s="6" t="s">
        <v>339</v>
      </c>
      <c r="B18">
        <v>1600</v>
      </c>
      <c r="C18">
        <v>2929</v>
      </c>
      <c r="D18">
        <v>1329</v>
      </c>
      <c r="E18">
        <v>3.8</v>
      </c>
      <c r="F18">
        <v>5</v>
      </c>
    </row>
    <row r="19" spans="1:6" x14ac:dyDescent="0.3">
      <c r="A19" s="5" t="s">
        <v>28</v>
      </c>
      <c r="B19">
        <v>2319</v>
      </c>
      <c r="C19">
        <v>3032</v>
      </c>
      <c r="D19">
        <v>713</v>
      </c>
      <c r="E19">
        <v>4.5999999999999996</v>
      </c>
      <c r="F19">
        <v>55</v>
      </c>
    </row>
    <row r="20" spans="1:6" x14ac:dyDescent="0.3">
      <c r="A20" s="6" t="s">
        <v>338</v>
      </c>
      <c r="B20">
        <v>2319</v>
      </c>
      <c r="C20">
        <v>3032</v>
      </c>
      <c r="D20">
        <v>713</v>
      </c>
      <c r="E20">
        <v>4.5999999999999996</v>
      </c>
      <c r="F20">
        <v>55</v>
      </c>
    </row>
    <row r="21" spans="1:6" x14ac:dyDescent="0.3">
      <c r="A21" s="5" t="s">
        <v>291</v>
      </c>
      <c r="B21">
        <v>198</v>
      </c>
      <c r="C21">
        <v>260</v>
      </c>
      <c r="D21">
        <v>62</v>
      </c>
      <c r="E21">
        <v>0</v>
      </c>
      <c r="F21">
        <v>0</v>
      </c>
    </row>
    <row r="22" spans="1:6" x14ac:dyDescent="0.3">
      <c r="A22" s="6" t="s">
        <v>338</v>
      </c>
      <c r="B22">
        <v>198</v>
      </c>
      <c r="C22">
        <v>260</v>
      </c>
      <c r="D22">
        <v>62</v>
      </c>
      <c r="E22">
        <v>0</v>
      </c>
      <c r="F22">
        <v>0</v>
      </c>
    </row>
    <row r="23" spans="1:6" x14ac:dyDescent="0.3">
      <c r="A23" s="5" t="s">
        <v>240</v>
      </c>
      <c r="B23">
        <v>1666</v>
      </c>
      <c r="C23">
        <v>1699</v>
      </c>
      <c r="D23">
        <v>33</v>
      </c>
      <c r="E23">
        <v>0</v>
      </c>
      <c r="F23">
        <v>0</v>
      </c>
    </row>
    <row r="24" spans="1:6" x14ac:dyDescent="0.3">
      <c r="A24" s="6" t="s">
        <v>340</v>
      </c>
      <c r="B24">
        <v>1666</v>
      </c>
      <c r="C24">
        <v>1699</v>
      </c>
      <c r="D24">
        <v>33</v>
      </c>
      <c r="E24">
        <v>0</v>
      </c>
      <c r="F24">
        <v>0</v>
      </c>
    </row>
    <row r="25" spans="1:6" x14ac:dyDescent="0.3">
      <c r="A25" s="5" t="s">
        <v>310</v>
      </c>
      <c r="B25">
        <v>2999</v>
      </c>
      <c r="C25">
        <v>3290</v>
      </c>
      <c r="D25">
        <v>291</v>
      </c>
      <c r="E25">
        <v>4</v>
      </c>
      <c r="F25">
        <v>15</v>
      </c>
    </row>
    <row r="26" spans="1:6" x14ac:dyDescent="0.3">
      <c r="A26" s="6" t="s">
        <v>340</v>
      </c>
      <c r="B26">
        <v>2999</v>
      </c>
      <c r="C26">
        <v>3290</v>
      </c>
      <c r="D26">
        <v>291</v>
      </c>
      <c r="E26">
        <v>4</v>
      </c>
      <c r="F26">
        <v>15</v>
      </c>
    </row>
    <row r="27" spans="1:6" x14ac:dyDescent="0.3">
      <c r="A27" s="5" t="s">
        <v>288</v>
      </c>
      <c r="B27">
        <v>1875</v>
      </c>
      <c r="C27">
        <v>1899</v>
      </c>
      <c r="D27">
        <v>24</v>
      </c>
      <c r="E27">
        <v>0</v>
      </c>
      <c r="F27">
        <v>0</v>
      </c>
    </row>
    <row r="28" spans="1:6" x14ac:dyDescent="0.3">
      <c r="A28" s="6" t="s">
        <v>340</v>
      </c>
      <c r="B28">
        <v>1875</v>
      </c>
      <c r="C28">
        <v>1899</v>
      </c>
      <c r="D28">
        <v>24</v>
      </c>
      <c r="E28">
        <v>0</v>
      </c>
      <c r="F28">
        <v>0</v>
      </c>
    </row>
    <row r="29" spans="1:6" x14ac:dyDescent="0.3">
      <c r="A29" s="5" t="s">
        <v>267</v>
      </c>
      <c r="B29">
        <v>1200</v>
      </c>
      <c r="C29">
        <v>2400</v>
      </c>
      <c r="D29">
        <v>1200</v>
      </c>
      <c r="E29">
        <v>0</v>
      </c>
      <c r="F29">
        <v>0</v>
      </c>
    </row>
    <row r="30" spans="1:6" x14ac:dyDescent="0.3">
      <c r="A30" s="6" t="s">
        <v>339</v>
      </c>
      <c r="B30">
        <v>1200</v>
      </c>
      <c r="C30">
        <v>2400</v>
      </c>
      <c r="D30">
        <v>1200</v>
      </c>
      <c r="E30">
        <v>0</v>
      </c>
      <c r="F30">
        <v>0</v>
      </c>
    </row>
    <row r="31" spans="1:6" x14ac:dyDescent="0.3">
      <c r="A31" s="5" t="s">
        <v>143</v>
      </c>
      <c r="B31">
        <v>1200</v>
      </c>
      <c r="C31">
        <v>1950</v>
      </c>
      <c r="D31">
        <v>750</v>
      </c>
      <c r="E31">
        <v>0</v>
      </c>
      <c r="F31">
        <v>0</v>
      </c>
    </row>
    <row r="32" spans="1:6" x14ac:dyDescent="0.3">
      <c r="A32" s="6" t="s">
        <v>338</v>
      </c>
      <c r="B32">
        <v>1200</v>
      </c>
      <c r="C32">
        <v>1950</v>
      </c>
      <c r="D32">
        <v>750</v>
      </c>
      <c r="E32">
        <v>0</v>
      </c>
      <c r="F32">
        <v>0</v>
      </c>
    </row>
    <row r="33" spans="1:6" x14ac:dyDescent="0.3">
      <c r="A33" s="5" t="s">
        <v>222</v>
      </c>
      <c r="B33">
        <v>790</v>
      </c>
      <c r="C33">
        <v>1485</v>
      </c>
      <c r="D33">
        <v>695</v>
      </c>
      <c r="E33">
        <v>0</v>
      </c>
      <c r="F33">
        <v>0</v>
      </c>
    </row>
    <row r="34" spans="1:6" x14ac:dyDescent="0.3">
      <c r="A34" s="6" t="s">
        <v>339</v>
      </c>
      <c r="B34">
        <v>790</v>
      </c>
      <c r="C34">
        <v>1485</v>
      </c>
      <c r="D34">
        <v>695</v>
      </c>
      <c r="E34">
        <v>0</v>
      </c>
      <c r="F34">
        <v>0</v>
      </c>
    </row>
    <row r="35" spans="1:6" x14ac:dyDescent="0.3">
      <c r="A35" s="5" t="s">
        <v>204</v>
      </c>
      <c r="B35">
        <v>3750</v>
      </c>
      <c r="C35">
        <v>6143</v>
      </c>
      <c r="D35">
        <v>2393</v>
      </c>
      <c r="E35">
        <v>3</v>
      </c>
      <c r="F35">
        <v>5</v>
      </c>
    </row>
    <row r="36" spans="1:6" x14ac:dyDescent="0.3">
      <c r="A36" s="6" t="s">
        <v>338</v>
      </c>
      <c r="B36">
        <v>3750</v>
      </c>
      <c r="C36">
        <v>6143</v>
      </c>
      <c r="D36">
        <v>2393</v>
      </c>
      <c r="E36">
        <v>3</v>
      </c>
      <c r="F36">
        <v>5</v>
      </c>
    </row>
    <row r="37" spans="1:6" x14ac:dyDescent="0.3">
      <c r="A37" s="5" t="s">
        <v>201</v>
      </c>
      <c r="B37">
        <v>1000</v>
      </c>
      <c r="C37">
        <v>2000</v>
      </c>
      <c r="D37">
        <v>1000</v>
      </c>
      <c r="E37">
        <v>2.2999999999999998</v>
      </c>
      <c r="F37">
        <v>7</v>
      </c>
    </row>
    <row r="38" spans="1:6" x14ac:dyDescent="0.3">
      <c r="A38" s="6" t="s">
        <v>339</v>
      </c>
      <c r="B38">
        <v>1000</v>
      </c>
      <c r="C38">
        <v>2000</v>
      </c>
      <c r="D38">
        <v>1000</v>
      </c>
      <c r="E38">
        <v>2.2999999999999998</v>
      </c>
      <c r="F38">
        <v>7</v>
      </c>
    </row>
    <row r="39" spans="1:6" x14ac:dyDescent="0.3">
      <c r="A39" s="5" t="s">
        <v>66</v>
      </c>
      <c r="B39">
        <v>998</v>
      </c>
      <c r="C39">
        <v>1966</v>
      </c>
      <c r="D39">
        <v>968</v>
      </c>
      <c r="E39">
        <v>4.5999999999999996</v>
      </c>
      <c r="F39">
        <v>44</v>
      </c>
    </row>
    <row r="40" spans="1:6" x14ac:dyDescent="0.3">
      <c r="A40" s="6" t="s">
        <v>339</v>
      </c>
      <c r="B40">
        <v>998</v>
      </c>
      <c r="C40">
        <v>1966</v>
      </c>
      <c r="D40">
        <v>968</v>
      </c>
      <c r="E40">
        <v>4.5999999999999996</v>
      </c>
      <c r="F40">
        <v>44</v>
      </c>
    </row>
    <row r="41" spans="1:6" x14ac:dyDescent="0.3">
      <c r="A41" s="5" t="s">
        <v>225</v>
      </c>
      <c r="B41">
        <v>690</v>
      </c>
      <c r="C41">
        <v>1200</v>
      </c>
      <c r="D41">
        <v>510</v>
      </c>
      <c r="E41">
        <v>0</v>
      </c>
      <c r="F41">
        <v>0</v>
      </c>
    </row>
    <row r="42" spans="1:6" x14ac:dyDescent="0.3">
      <c r="A42" s="6" t="s">
        <v>338</v>
      </c>
      <c r="B42">
        <v>690</v>
      </c>
      <c r="C42">
        <v>1200</v>
      </c>
      <c r="D42">
        <v>510</v>
      </c>
      <c r="E42">
        <v>0</v>
      </c>
      <c r="F42">
        <v>0</v>
      </c>
    </row>
    <row r="43" spans="1:6" x14ac:dyDescent="0.3">
      <c r="A43" s="5" t="s">
        <v>69</v>
      </c>
      <c r="B43">
        <v>38</v>
      </c>
      <c r="C43">
        <v>80</v>
      </c>
      <c r="D43">
        <v>42</v>
      </c>
      <c r="E43">
        <v>3.3</v>
      </c>
      <c r="F43">
        <v>13</v>
      </c>
    </row>
    <row r="44" spans="1:6" x14ac:dyDescent="0.3">
      <c r="A44" s="6" t="s">
        <v>339</v>
      </c>
      <c r="B44">
        <v>38</v>
      </c>
      <c r="C44">
        <v>80</v>
      </c>
      <c r="D44">
        <v>42</v>
      </c>
      <c r="E44">
        <v>3.3</v>
      </c>
      <c r="F44">
        <v>13</v>
      </c>
    </row>
    <row r="45" spans="1:6" x14ac:dyDescent="0.3">
      <c r="A45" s="5" t="s">
        <v>273</v>
      </c>
      <c r="B45">
        <v>248</v>
      </c>
      <c r="C45">
        <v>486</v>
      </c>
      <c r="D45">
        <v>238</v>
      </c>
      <c r="E45">
        <v>0</v>
      </c>
      <c r="F45">
        <v>0</v>
      </c>
    </row>
    <row r="46" spans="1:6" x14ac:dyDescent="0.3">
      <c r="A46" s="6" t="s">
        <v>339</v>
      </c>
      <c r="B46">
        <v>248</v>
      </c>
      <c r="C46">
        <v>486</v>
      </c>
      <c r="D46">
        <v>238</v>
      </c>
      <c r="E46">
        <v>0</v>
      </c>
      <c r="F46">
        <v>0</v>
      </c>
    </row>
    <row r="47" spans="1:6" x14ac:dyDescent="0.3">
      <c r="A47" s="5" t="s">
        <v>45</v>
      </c>
      <c r="B47">
        <v>552</v>
      </c>
      <c r="C47">
        <v>1035</v>
      </c>
      <c r="D47">
        <v>483</v>
      </c>
      <c r="E47">
        <v>4.8</v>
      </c>
      <c r="F47">
        <v>12</v>
      </c>
    </row>
    <row r="48" spans="1:6" x14ac:dyDescent="0.3">
      <c r="A48" s="6" t="s">
        <v>339</v>
      </c>
      <c r="B48">
        <v>552</v>
      </c>
      <c r="C48">
        <v>1035</v>
      </c>
      <c r="D48">
        <v>483</v>
      </c>
      <c r="E48">
        <v>4.8</v>
      </c>
      <c r="F48">
        <v>12</v>
      </c>
    </row>
    <row r="49" spans="1:6" x14ac:dyDescent="0.3">
      <c r="A49" s="5" t="s">
        <v>124</v>
      </c>
      <c r="B49">
        <v>475</v>
      </c>
      <c r="C49">
        <v>931</v>
      </c>
      <c r="D49">
        <v>456</v>
      </c>
      <c r="E49">
        <v>0</v>
      </c>
      <c r="F49">
        <v>0</v>
      </c>
    </row>
    <row r="50" spans="1:6" x14ac:dyDescent="0.3">
      <c r="A50" s="6" t="s">
        <v>339</v>
      </c>
      <c r="B50">
        <v>475</v>
      </c>
      <c r="C50">
        <v>931</v>
      </c>
      <c r="D50">
        <v>456</v>
      </c>
      <c r="E50">
        <v>0</v>
      </c>
      <c r="F50">
        <v>0</v>
      </c>
    </row>
    <row r="51" spans="1:6" x14ac:dyDescent="0.3">
      <c r="A51" s="5" t="s">
        <v>311</v>
      </c>
      <c r="B51">
        <v>1860</v>
      </c>
      <c r="C51">
        <v>3220</v>
      </c>
      <c r="D51">
        <v>1360</v>
      </c>
      <c r="E51">
        <v>0</v>
      </c>
      <c r="F51">
        <v>0</v>
      </c>
    </row>
    <row r="52" spans="1:6" x14ac:dyDescent="0.3">
      <c r="A52" s="6" t="s">
        <v>338</v>
      </c>
      <c r="B52">
        <v>1860</v>
      </c>
      <c r="C52">
        <v>3220</v>
      </c>
      <c r="D52">
        <v>1360</v>
      </c>
      <c r="E52">
        <v>0</v>
      </c>
      <c r="F52">
        <v>0</v>
      </c>
    </row>
    <row r="53" spans="1:6" x14ac:dyDescent="0.3">
      <c r="A53" s="5" t="s">
        <v>174</v>
      </c>
      <c r="B53">
        <v>2170</v>
      </c>
      <c r="C53">
        <v>2500</v>
      </c>
      <c r="D53">
        <v>330</v>
      </c>
      <c r="E53">
        <v>2.5</v>
      </c>
      <c r="F53">
        <v>6</v>
      </c>
    </row>
    <row r="54" spans="1:6" x14ac:dyDescent="0.3">
      <c r="A54" s="6" t="s">
        <v>340</v>
      </c>
      <c r="B54">
        <v>2170</v>
      </c>
      <c r="C54">
        <v>2500</v>
      </c>
      <c r="D54">
        <v>330</v>
      </c>
      <c r="E54">
        <v>2.5</v>
      </c>
      <c r="F54">
        <v>6</v>
      </c>
    </row>
    <row r="55" spans="1:6" x14ac:dyDescent="0.3">
      <c r="A55" s="5" t="s">
        <v>93</v>
      </c>
      <c r="B55">
        <v>1758</v>
      </c>
      <c r="C55">
        <v>2499</v>
      </c>
      <c r="D55">
        <v>741</v>
      </c>
      <c r="E55">
        <v>4.0999999999999996</v>
      </c>
      <c r="F55">
        <v>20</v>
      </c>
    </row>
    <row r="56" spans="1:6" x14ac:dyDescent="0.3">
      <c r="A56" s="6" t="s">
        <v>338</v>
      </c>
      <c r="B56">
        <v>1758</v>
      </c>
      <c r="C56">
        <v>2499</v>
      </c>
      <c r="D56">
        <v>741</v>
      </c>
      <c r="E56">
        <v>4.0999999999999996</v>
      </c>
      <c r="F56">
        <v>20</v>
      </c>
    </row>
    <row r="57" spans="1:6" x14ac:dyDescent="0.3">
      <c r="A57" s="5" t="s">
        <v>109</v>
      </c>
      <c r="B57">
        <v>1980</v>
      </c>
      <c r="C57">
        <v>2699</v>
      </c>
      <c r="D57">
        <v>719</v>
      </c>
      <c r="E57">
        <v>4.5</v>
      </c>
      <c r="F57">
        <v>32</v>
      </c>
    </row>
    <row r="58" spans="1:6" x14ac:dyDescent="0.3">
      <c r="A58" s="6" t="s">
        <v>338</v>
      </c>
      <c r="B58">
        <v>1980</v>
      </c>
      <c r="C58">
        <v>2699</v>
      </c>
      <c r="D58">
        <v>719</v>
      </c>
      <c r="E58">
        <v>4.5</v>
      </c>
      <c r="F58">
        <v>32</v>
      </c>
    </row>
    <row r="59" spans="1:6" x14ac:dyDescent="0.3">
      <c r="A59" s="5" t="s">
        <v>106</v>
      </c>
      <c r="B59">
        <v>1940</v>
      </c>
      <c r="C59">
        <v>2650</v>
      </c>
      <c r="D59">
        <v>710</v>
      </c>
      <c r="E59">
        <v>4.7</v>
      </c>
      <c r="F59">
        <v>20</v>
      </c>
    </row>
    <row r="60" spans="1:6" x14ac:dyDescent="0.3">
      <c r="A60" s="6" t="s">
        <v>338</v>
      </c>
      <c r="B60">
        <v>1940</v>
      </c>
      <c r="C60">
        <v>2650</v>
      </c>
      <c r="D60">
        <v>710</v>
      </c>
      <c r="E60">
        <v>4.7</v>
      </c>
      <c r="F60">
        <v>20</v>
      </c>
    </row>
    <row r="61" spans="1:6" x14ac:dyDescent="0.3">
      <c r="A61" s="5" t="s">
        <v>237</v>
      </c>
      <c r="B61">
        <v>1460</v>
      </c>
      <c r="C61">
        <v>2290</v>
      </c>
      <c r="D61">
        <v>830</v>
      </c>
      <c r="E61">
        <v>0</v>
      </c>
      <c r="F61">
        <v>0</v>
      </c>
    </row>
    <row r="62" spans="1:6" x14ac:dyDescent="0.3">
      <c r="A62" s="6" t="s">
        <v>338</v>
      </c>
      <c r="B62">
        <v>1460</v>
      </c>
      <c r="C62">
        <v>2290</v>
      </c>
      <c r="D62">
        <v>830</v>
      </c>
      <c r="E62">
        <v>0</v>
      </c>
      <c r="F62">
        <v>0</v>
      </c>
    </row>
    <row r="63" spans="1:6" x14ac:dyDescent="0.3">
      <c r="A63" s="5" t="s">
        <v>182</v>
      </c>
      <c r="B63">
        <v>2115</v>
      </c>
      <c r="C63">
        <v>4700</v>
      </c>
      <c r="D63">
        <v>2585</v>
      </c>
      <c r="E63">
        <v>2.1</v>
      </c>
      <c r="F63">
        <v>13</v>
      </c>
    </row>
    <row r="64" spans="1:6" x14ac:dyDescent="0.3">
      <c r="A64" s="6" t="s">
        <v>339</v>
      </c>
      <c r="B64">
        <v>2115</v>
      </c>
      <c r="C64">
        <v>4700</v>
      </c>
      <c r="D64">
        <v>2585</v>
      </c>
      <c r="E64">
        <v>2.1</v>
      </c>
      <c r="F64">
        <v>13</v>
      </c>
    </row>
    <row r="65" spans="1:6" x14ac:dyDescent="0.3">
      <c r="A65" s="5" t="s">
        <v>303</v>
      </c>
      <c r="B65">
        <v>199</v>
      </c>
      <c r="C65">
        <v>553</v>
      </c>
      <c r="D65">
        <v>354</v>
      </c>
      <c r="E65">
        <v>0</v>
      </c>
      <c r="F65">
        <v>0</v>
      </c>
    </row>
    <row r="66" spans="1:6" x14ac:dyDescent="0.3">
      <c r="A66" s="6" t="s">
        <v>339</v>
      </c>
      <c r="B66">
        <v>199</v>
      </c>
      <c r="C66">
        <v>553</v>
      </c>
      <c r="D66">
        <v>354</v>
      </c>
      <c r="E66">
        <v>0</v>
      </c>
      <c r="F66">
        <v>0</v>
      </c>
    </row>
    <row r="67" spans="1:6" x14ac:dyDescent="0.3">
      <c r="A67" s="5" t="s">
        <v>266</v>
      </c>
      <c r="B67">
        <v>899</v>
      </c>
      <c r="C67">
        <v>1699</v>
      </c>
      <c r="D67">
        <v>800</v>
      </c>
      <c r="E67">
        <v>0</v>
      </c>
      <c r="F67">
        <v>0</v>
      </c>
    </row>
    <row r="68" spans="1:6" x14ac:dyDescent="0.3">
      <c r="A68" s="6" t="s">
        <v>339</v>
      </c>
      <c r="B68">
        <v>899</v>
      </c>
      <c r="C68">
        <v>1699</v>
      </c>
      <c r="D68">
        <v>800</v>
      </c>
      <c r="E68">
        <v>0</v>
      </c>
      <c r="F68">
        <v>0</v>
      </c>
    </row>
    <row r="69" spans="1:6" x14ac:dyDescent="0.3">
      <c r="A69" s="5" t="s">
        <v>137</v>
      </c>
      <c r="B69">
        <v>1190</v>
      </c>
      <c r="C69">
        <v>1785</v>
      </c>
      <c r="D69">
        <v>595</v>
      </c>
      <c r="E69">
        <v>0</v>
      </c>
      <c r="F69">
        <v>0</v>
      </c>
    </row>
    <row r="70" spans="1:6" x14ac:dyDescent="0.3">
      <c r="A70" s="6" t="s">
        <v>338</v>
      </c>
      <c r="B70">
        <v>1190</v>
      </c>
      <c r="C70">
        <v>1785</v>
      </c>
      <c r="D70">
        <v>595</v>
      </c>
      <c r="E70">
        <v>0</v>
      </c>
      <c r="F70">
        <v>0</v>
      </c>
    </row>
    <row r="71" spans="1:6" x14ac:dyDescent="0.3">
      <c r="A71" s="5" t="s">
        <v>230</v>
      </c>
      <c r="B71">
        <v>230</v>
      </c>
      <c r="C71">
        <v>450</v>
      </c>
      <c r="D71">
        <v>220</v>
      </c>
      <c r="E71">
        <v>0</v>
      </c>
      <c r="F71">
        <v>0</v>
      </c>
    </row>
    <row r="72" spans="1:6" x14ac:dyDescent="0.3">
      <c r="A72" s="6" t="s">
        <v>339</v>
      </c>
      <c r="B72">
        <v>230</v>
      </c>
      <c r="C72">
        <v>450</v>
      </c>
      <c r="D72">
        <v>220</v>
      </c>
      <c r="E72">
        <v>0</v>
      </c>
      <c r="F72">
        <v>0</v>
      </c>
    </row>
    <row r="73" spans="1:6" x14ac:dyDescent="0.3">
      <c r="A73" s="5" t="s">
        <v>317</v>
      </c>
      <c r="B73">
        <v>968</v>
      </c>
      <c r="C73">
        <v>1814</v>
      </c>
      <c r="D73">
        <v>846</v>
      </c>
      <c r="E73">
        <v>2.2000000000000002</v>
      </c>
      <c r="F73">
        <v>6</v>
      </c>
    </row>
    <row r="74" spans="1:6" x14ac:dyDescent="0.3">
      <c r="A74" s="6" t="s">
        <v>339</v>
      </c>
      <c r="B74">
        <v>968</v>
      </c>
      <c r="C74">
        <v>1814</v>
      </c>
      <c r="D74">
        <v>846</v>
      </c>
      <c r="E74">
        <v>2.2000000000000002</v>
      </c>
      <c r="F74">
        <v>6</v>
      </c>
    </row>
    <row r="75" spans="1:6" x14ac:dyDescent="0.3">
      <c r="A75" s="5" t="s">
        <v>281</v>
      </c>
      <c r="B75">
        <v>1080</v>
      </c>
      <c r="C75">
        <v>1874</v>
      </c>
      <c r="D75">
        <v>794</v>
      </c>
      <c r="E75">
        <v>0</v>
      </c>
      <c r="F75">
        <v>0</v>
      </c>
    </row>
    <row r="76" spans="1:6" x14ac:dyDescent="0.3">
      <c r="A76" s="6" t="s">
        <v>338</v>
      </c>
      <c r="B76">
        <v>1080</v>
      </c>
      <c r="C76">
        <v>1874</v>
      </c>
      <c r="D76">
        <v>794</v>
      </c>
      <c r="E76">
        <v>0</v>
      </c>
      <c r="F76">
        <v>0</v>
      </c>
    </row>
    <row r="77" spans="1:6" x14ac:dyDescent="0.3">
      <c r="A77" s="5" t="s">
        <v>321</v>
      </c>
      <c r="B77">
        <v>1420</v>
      </c>
      <c r="C77">
        <v>2420</v>
      </c>
      <c r="D77">
        <v>1000</v>
      </c>
      <c r="E77">
        <v>0</v>
      </c>
      <c r="F77">
        <v>0</v>
      </c>
    </row>
    <row r="78" spans="1:6" x14ac:dyDescent="0.3">
      <c r="A78" s="6" t="s">
        <v>338</v>
      </c>
      <c r="B78">
        <v>1420</v>
      </c>
      <c r="C78">
        <v>2420</v>
      </c>
      <c r="D78">
        <v>1000</v>
      </c>
      <c r="E78">
        <v>0</v>
      </c>
      <c r="F78">
        <v>0</v>
      </c>
    </row>
    <row r="79" spans="1:6" x14ac:dyDescent="0.3">
      <c r="A79" s="5" t="s">
        <v>207</v>
      </c>
      <c r="B79">
        <v>382</v>
      </c>
      <c r="C79">
        <v>700</v>
      </c>
      <c r="D79">
        <v>318</v>
      </c>
      <c r="E79">
        <v>2.6</v>
      </c>
      <c r="F79">
        <v>17</v>
      </c>
    </row>
    <row r="80" spans="1:6" x14ac:dyDescent="0.3">
      <c r="A80" s="6" t="s">
        <v>339</v>
      </c>
      <c r="B80">
        <v>382</v>
      </c>
      <c r="C80">
        <v>700</v>
      </c>
      <c r="D80">
        <v>318</v>
      </c>
      <c r="E80">
        <v>2.6</v>
      </c>
      <c r="F80">
        <v>17</v>
      </c>
    </row>
    <row r="81" spans="1:6" x14ac:dyDescent="0.3">
      <c r="A81" s="5" t="s">
        <v>167</v>
      </c>
      <c r="B81">
        <v>1456</v>
      </c>
      <c r="C81">
        <v>2855</v>
      </c>
      <c r="D81">
        <v>1399</v>
      </c>
      <c r="E81">
        <v>0</v>
      </c>
      <c r="F81">
        <v>0</v>
      </c>
    </row>
    <row r="82" spans="1:6" x14ac:dyDescent="0.3">
      <c r="A82" s="6" t="s">
        <v>339</v>
      </c>
      <c r="B82">
        <v>1456</v>
      </c>
      <c r="C82">
        <v>2855</v>
      </c>
      <c r="D82">
        <v>1399</v>
      </c>
      <c r="E82">
        <v>0</v>
      </c>
      <c r="F82">
        <v>0</v>
      </c>
    </row>
    <row r="83" spans="1:6" x14ac:dyDescent="0.3">
      <c r="A83" s="5" t="s">
        <v>54</v>
      </c>
      <c r="B83">
        <v>332</v>
      </c>
      <c r="C83">
        <v>684</v>
      </c>
      <c r="D83">
        <v>352</v>
      </c>
      <c r="E83">
        <v>5</v>
      </c>
      <c r="F83">
        <v>2</v>
      </c>
    </row>
    <row r="84" spans="1:6" x14ac:dyDescent="0.3">
      <c r="A84" s="6" t="s">
        <v>339</v>
      </c>
      <c r="B84">
        <v>332</v>
      </c>
      <c r="C84">
        <v>684</v>
      </c>
      <c r="D84">
        <v>352</v>
      </c>
      <c r="E84">
        <v>5</v>
      </c>
      <c r="F84">
        <v>2</v>
      </c>
    </row>
    <row r="85" spans="1:6" x14ac:dyDescent="0.3">
      <c r="A85" s="5" t="s">
        <v>198</v>
      </c>
      <c r="B85">
        <v>990</v>
      </c>
      <c r="C85">
        <v>1814</v>
      </c>
      <c r="D85">
        <v>824</v>
      </c>
      <c r="E85">
        <v>2.2000000000000002</v>
      </c>
      <c r="F85">
        <v>6</v>
      </c>
    </row>
    <row r="86" spans="1:6" x14ac:dyDescent="0.3">
      <c r="A86" s="6" t="s">
        <v>339</v>
      </c>
      <c r="B86">
        <v>990</v>
      </c>
      <c r="C86">
        <v>1814</v>
      </c>
      <c r="D86">
        <v>824</v>
      </c>
      <c r="E86">
        <v>2.2000000000000002</v>
      </c>
      <c r="F86">
        <v>6</v>
      </c>
    </row>
    <row r="87" spans="1:6" x14ac:dyDescent="0.3">
      <c r="A87" s="5" t="s">
        <v>278</v>
      </c>
      <c r="B87">
        <v>525</v>
      </c>
      <c r="C87">
        <v>1029</v>
      </c>
      <c r="D87">
        <v>504</v>
      </c>
      <c r="E87">
        <v>0</v>
      </c>
      <c r="F87">
        <v>0</v>
      </c>
    </row>
    <row r="88" spans="1:6" x14ac:dyDescent="0.3">
      <c r="A88" s="6" t="s">
        <v>339</v>
      </c>
      <c r="B88">
        <v>525</v>
      </c>
      <c r="C88">
        <v>1029</v>
      </c>
      <c r="D88">
        <v>504</v>
      </c>
      <c r="E88">
        <v>0</v>
      </c>
      <c r="F88">
        <v>0</v>
      </c>
    </row>
    <row r="89" spans="1:6" x14ac:dyDescent="0.3">
      <c r="A89" s="5" t="s">
        <v>316</v>
      </c>
      <c r="B89">
        <v>610</v>
      </c>
      <c r="C89">
        <v>1060</v>
      </c>
      <c r="D89">
        <v>450</v>
      </c>
      <c r="E89">
        <v>0</v>
      </c>
      <c r="F89">
        <v>0</v>
      </c>
    </row>
    <row r="90" spans="1:6" x14ac:dyDescent="0.3">
      <c r="A90" s="6" t="s">
        <v>338</v>
      </c>
      <c r="B90">
        <v>610</v>
      </c>
      <c r="C90">
        <v>1060</v>
      </c>
      <c r="D90">
        <v>450</v>
      </c>
      <c r="E90">
        <v>0</v>
      </c>
      <c r="F90">
        <v>0</v>
      </c>
    </row>
    <row r="91" spans="1:6" x14ac:dyDescent="0.3">
      <c r="A91" s="5" t="s">
        <v>234</v>
      </c>
      <c r="B91">
        <v>979</v>
      </c>
      <c r="C91">
        <v>1920</v>
      </c>
      <c r="D91">
        <v>941</v>
      </c>
      <c r="E91">
        <v>5</v>
      </c>
      <c r="F91">
        <v>1</v>
      </c>
    </row>
    <row r="92" spans="1:6" x14ac:dyDescent="0.3">
      <c r="A92" s="6" t="s">
        <v>339</v>
      </c>
      <c r="B92">
        <v>979</v>
      </c>
      <c r="C92">
        <v>1920</v>
      </c>
      <c r="D92">
        <v>941</v>
      </c>
      <c r="E92">
        <v>5</v>
      </c>
      <c r="F92">
        <v>1</v>
      </c>
    </row>
    <row r="93" spans="1:6" x14ac:dyDescent="0.3">
      <c r="A93" s="5" t="s">
        <v>307</v>
      </c>
      <c r="B93">
        <v>169</v>
      </c>
      <c r="C93">
        <v>320</v>
      </c>
      <c r="D93">
        <v>151</v>
      </c>
      <c r="E93">
        <v>0</v>
      </c>
      <c r="F93">
        <v>0</v>
      </c>
    </row>
    <row r="94" spans="1:6" x14ac:dyDescent="0.3">
      <c r="A94" s="6" t="s">
        <v>339</v>
      </c>
      <c r="B94">
        <v>169</v>
      </c>
      <c r="C94">
        <v>320</v>
      </c>
      <c r="D94">
        <v>151</v>
      </c>
      <c r="E94">
        <v>0</v>
      </c>
      <c r="F94">
        <v>0</v>
      </c>
    </row>
    <row r="95" spans="1:6" x14ac:dyDescent="0.3">
      <c r="A95" s="5" t="s">
        <v>149</v>
      </c>
      <c r="B95">
        <v>299</v>
      </c>
      <c r="C95">
        <v>600</v>
      </c>
      <c r="D95">
        <v>301</v>
      </c>
      <c r="E95">
        <v>0</v>
      </c>
      <c r="F95">
        <v>0</v>
      </c>
    </row>
    <row r="96" spans="1:6" x14ac:dyDescent="0.3">
      <c r="A96" s="6" t="s">
        <v>339</v>
      </c>
      <c r="B96">
        <v>299</v>
      </c>
      <c r="C96">
        <v>600</v>
      </c>
      <c r="D96">
        <v>301</v>
      </c>
      <c r="E96">
        <v>0</v>
      </c>
      <c r="F96">
        <v>0</v>
      </c>
    </row>
    <row r="97" spans="1:6" x14ac:dyDescent="0.3">
      <c r="A97" s="5" t="s">
        <v>140</v>
      </c>
      <c r="B97">
        <v>671</v>
      </c>
      <c r="C97">
        <v>1316</v>
      </c>
      <c r="D97">
        <v>645</v>
      </c>
      <c r="E97">
        <v>0</v>
      </c>
      <c r="F97">
        <v>0</v>
      </c>
    </row>
    <row r="98" spans="1:6" x14ac:dyDescent="0.3">
      <c r="A98" s="6" t="s">
        <v>339</v>
      </c>
      <c r="B98">
        <v>671</v>
      </c>
      <c r="C98">
        <v>1316</v>
      </c>
      <c r="D98">
        <v>645</v>
      </c>
      <c r="E98">
        <v>0</v>
      </c>
      <c r="F98">
        <v>0</v>
      </c>
    </row>
    <row r="99" spans="1:6" x14ac:dyDescent="0.3">
      <c r="A99" s="5" t="s">
        <v>247</v>
      </c>
      <c r="B99">
        <v>274</v>
      </c>
      <c r="C99">
        <v>537</v>
      </c>
      <c r="D99">
        <v>263</v>
      </c>
      <c r="E99">
        <v>0</v>
      </c>
      <c r="F99">
        <v>0</v>
      </c>
    </row>
    <row r="100" spans="1:6" x14ac:dyDescent="0.3">
      <c r="A100" s="6" t="s">
        <v>339</v>
      </c>
      <c r="B100">
        <v>274</v>
      </c>
      <c r="C100">
        <v>537</v>
      </c>
      <c r="D100">
        <v>263</v>
      </c>
      <c r="E100">
        <v>0</v>
      </c>
      <c r="F100">
        <v>0</v>
      </c>
    </row>
    <row r="101" spans="1:6" x14ac:dyDescent="0.3">
      <c r="A101" s="5" t="s">
        <v>297</v>
      </c>
      <c r="B101">
        <v>1190</v>
      </c>
      <c r="C101">
        <v>1810</v>
      </c>
      <c r="D101">
        <v>620</v>
      </c>
      <c r="E101">
        <v>0</v>
      </c>
      <c r="F101">
        <v>0</v>
      </c>
    </row>
    <row r="102" spans="1:6" x14ac:dyDescent="0.3">
      <c r="A102" s="6" t="s">
        <v>338</v>
      </c>
      <c r="B102">
        <v>1190</v>
      </c>
      <c r="C102">
        <v>1810</v>
      </c>
      <c r="D102">
        <v>620</v>
      </c>
      <c r="E102">
        <v>0</v>
      </c>
      <c r="F102">
        <v>0</v>
      </c>
    </row>
    <row r="103" spans="1:6" x14ac:dyDescent="0.3">
      <c r="A103" s="5" t="s">
        <v>135</v>
      </c>
      <c r="B103">
        <v>999</v>
      </c>
      <c r="C103">
        <v>2000</v>
      </c>
      <c r="D103">
        <v>1001</v>
      </c>
      <c r="E103">
        <v>0</v>
      </c>
      <c r="F103">
        <v>0</v>
      </c>
    </row>
    <row r="104" spans="1:6" x14ac:dyDescent="0.3">
      <c r="A104" s="6" t="s">
        <v>339</v>
      </c>
      <c r="B104">
        <v>999</v>
      </c>
      <c r="C104">
        <v>2000</v>
      </c>
      <c r="D104">
        <v>1001</v>
      </c>
      <c r="E104">
        <v>0</v>
      </c>
      <c r="F104">
        <v>0</v>
      </c>
    </row>
    <row r="105" spans="1:6" x14ac:dyDescent="0.3">
      <c r="A105" s="5" t="s">
        <v>165</v>
      </c>
      <c r="B105">
        <v>699</v>
      </c>
      <c r="C105">
        <v>1343</v>
      </c>
      <c r="D105">
        <v>644</v>
      </c>
      <c r="E105">
        <v>0</v>
      </c>
      <c r="F105">
        <v>0</v>
      </c>
    </row>
    <row r="106" spans="1:6" x14ac:dyDescent="0.3">
      <c r="A106" s="6" t="s">
        <v>339</v>
      </c>
      <c r="B106">
        <v>699</v>
      </c>
      <c r="C106">
        <v>1343</v>
      </c>
      <c r="D106">
        <v>644</v>
      </c>
      <c r="E106">
        <v>0</v>
      </c>
      <c r="F106">
        <v>0</v>
      </c>
    </row>
    <row r="107" spans="1:6" x14ac:dyDescent="0.3">
      <c r="A107" s="5" t="s">
        <v>114</v>
      </c>
      <c r="B107">
        <v>171</v>
      </c>
      <c r="C107">
        <v>360</v>
      </c>
      <c r="D107">
        <v>189</v>
      </c>
      <c r="E107">
        <v>5</v>
      </c>
      <c r="F107">
        <v>2</v>
      </c>
    </row>
    <row r="108" spans="1:6" x14ac:dyDescent="0.3">
      <c r="A108" s="6" t="s">
        <v>339</v>
      </c>
      <c r="B108">
        <v>171</v>
      </c>
      <c r="C108">
        <v>360</v>
      </c>
      <c r="D108">
        <v>189</v>
      </c>
      <c r="E108">
        <v>5</v>
      </c>
      <c r="F108">
        <v>2</v>
      </c>
    </row>
    <row r="109" spans="1:6" x14ac:dyDescent="0.3">
      <c r="A109" s="5" t="s">
        <v>146</v>
      </c>
      <c r="B109">
        <v>375</v>
      </c>
      <c r="C109">
        <v>849</v>
      </c>
      <c r="D109">
        <v>474</v>
      </c>
      <c r="E109">
        <v>0</v>
      </c>
      <c r="F109">
        <v>0</v>
      </c>
    </row>
    <row r="110" spans="1:6" x14ac:dyDescent="0.3">
      <c r="A110" s="6" t="s">
        <v>339</v>
      </c>
      <c r="B110">
        <v>375</v>
      </c>
      <c r="C110">
        <v>849</v>
      </c>
      <c r="D110">
        <v>474</v>
      </c>
      <c r="E110">
        <v>0</v>
      </c>
      <c r="F110">
        <v>0</v>
      </c>
    </row>
    <row r="111" spans="1:6" x14ac:dyDescent="0.3">
      <c r="A111" s="5" t="s">
        <v>227</v>
      </c>
      <c r="B111">
        <v>1732</v>
      </c>
      <c r="C111">
        <v>1799</v>
      </c>
      <c r="D111">
        <v>67</v>
      </c>
      <c r="E111">
        <v>0</v>
      </c>
      <c r="F111">
        <v>0</v>
      </c>
    </row>
    <row r="112" spans="1:6" x14ac:dyDescent="0.3">
      <c r="A112" s="6" t="s">
        <v>340</v>
      </c>
      <c r="B112">
        <v>1732</v>
      </c>
      <c r="C112">
        <v>1799</v>
      </c>
      <c r="D112">
        <v>67</v>
      </c>
      <c r="E112">
        <v>0</v>
      </c>
      <c r="F112">
        <v>0</v>
      </c>
    </row>
    <row r="113" spans="1:6" x14ac:dyDescent="0.3">
      <c r="A113" s="5" t="s">
        <v>160</v>
      </c>
      <c r="B113">
        <v>799</v>
      </c>
      <c r="C113">
        <v>1343</v>
      </c>
      <c r="D113">
        <v>544</v>
      </c>
      <c r="E113">
        <v>0</v>
      </c>
      <c r="F113">
        <v>0</v>
      </c>
    </row>
    <row r="114" spans="1:6" x14ac:dyDescent="0.3">
      <c r="A114" s="6" t="s">
        <v>338</v>
      </c>
      <c r="B114">
        <v>799</v>
      </c>
      <c r="C114">
        <v>1343</v>
      </c>
      <c r="D114">
        <v>544</v>
      </c>
      <c r="E114">
        <v>0</v>
      </c>
      <c r="F114">
        <v>0</v>
      </c>
    </row>
    <row r="115" spans="1:6" x14ac:dyDescent="0.3">
      <c r="A115" s="5" t="s">
        <v>31</v>
      </c>
      <c r="B115">
        <v>988</v>
      </c>
      <c r="C115">
        <v>1580</v>
      </c>
      <c r="D115">
        <v>592</v>
      </c>
      <c r="E115">
        <v>4</v>
      </c>
      <c r="F115">
        <v>2</v>
      </c>
    </row>
    <row r="116" spans="1:6" x14ac:dyDescent="0.3">
      <c r="A116" s="6" t="s">
        <v>338</v>
      </c>
      <c r="B116">
        <v>988</v>
      </c>
      <c r="C116">
        <v>1580</v>
      </c>
      <c r="D116">
        <v>592</v>
      </c>
      <c r="E116">
        <v>4</v>
      </c>
      <c r="F116">
        <v>2</v>
      </c>
    </row>
    <row r="117" spans="1:6" x14ac:dyDescent="0.3">
      <c r="A117" s="5" t="s">
        <v>314</v>
      </c>
      <c r="B117">
        <v>1620</v>
      </c>
      <c r="C117">
        <v>2690</v>
      </c>
      <c r="D117">
        <v>1070</v>
      </c>
      <c r="E117">
        <v>5</v>
      </c>
      <c r="F117">
        <v>1</v>
      </c>
    </row>
    <row r="118" spans="1:6" x14ac:dyDescent="0.3">
      <c r="A118" s="6" t="s">
        <v>338</v>
      </c>
      <c r="B118">
        <v>1620</v>
      </c>
      <c r="C118">
        <v>2690</v>
      </c>
      <c r="D118">
        <v>1070</v>
      </c>
      <c r="E118">
        <v>5</v>
      </c>
      <c r="F118">
        <v>1</v>
      </c>
    </row>
    <row r="119" spans="1:6" x14ac:dyDescent="0.3">
      <c r="A119" s="5" t="s">
        <v>318</v>
      </c>
      <c r="B119">
        <v>1570</v>
      </c>
      <c r="C119">
        <v>2988</v>
      </c>
      <c r="D119">
        <v>1418</v>
      </c>
      <c r="E119">
        <v>2.1</v>
      </c>
      <c r="F119">
        <v>7</v>
      </c>
    </row>
    <row r="120" spans="1:6" x14ac:dyDescent="0.3">
      <c r="A120" s="6" t="s">
        <v>339</v>
      </c>
      <c r="B120">
        <v>1570</v>
      </c>
      <c r="C120">
        <v>2988</v>
      </c>
      <c r="D120">
        <v>1418</v>
      </c>
      <c r="E120">
        <v>2.1</v>
      </c>
      <c r="F120">
        <v>7</v>
      </c>
    </row>
    <row r="121" spans="1:6" x14ac:dyDescent="0.3">
      <c r="A121" s="5" t="s">
        <v>85</v>
      </c>
      <c r="B121">
        <v>420</v>
      </c>
      <c r="C121">
        <v>647</v>
      </c>
      <c r="D121">
        <v>227</v>
      </c>
      <c r="E121">
        <v>4.5999999999999996</v>
      </c>
      <c r="F121">
        <v>49</v>
      </c>
    </row>
    <row r="122" spans="1:6" x14ac:dyDescent="0.3">
      <c r="A122" s="6" t="s">
        <v>338</v>
      </c>
      <c r="B122">
        <v>420</v>
      </c>
      <c r="C122">
        <v>647</v>
      </c>
      <c r="D122">
        <v>227</v>
      </c>
      <c r="E122">
        <v>4.5999999999999996</v>
      </c>
      <c r="F122">
        <v>49</v>
      </c>
    </row>
    <row r="123" spans="1:6" x14ac:dyDescent="0.3">
      <c r="A123" s="5" t="s">
        <v>98</v>
      </c>
      <c r="B123">
        <v>185</v>
      </c>
      <c r="C123">
        <v>382</v>
      </c>
      <c r="D123">
        <v>197</v>
      </c>
      <c r="E123">
        <v>4.3</v>
      </c>
      <c r="F123">
        <v>9</v>
      </c>
    </row>
    <row r="124" spans="1:6" x14ac:dyDescent="0.3">
      <c r="A124" s="6" t="s">
        <v>339</v>
      </c>
      <c r="B124">
        <v>185</v>
      </c>
      <c r="C124">
        <v>382</v>
      </c>
      <c r="D124">
        <v>197</v>
      </c>
      <c r="E124">
        <v>4.3</v>
      </c>
      <c r="F124">
        <v>9</v>
      </c>
    </row>
    <row r="125" spans="1:6" x14ac:dyDescent="0.3">
      <c r="A125" s="5" t="s">
        <v>77</v>
      </c>
      <c r="B125">
        <v>1650</v>
      </c>
      <c r="C125">
        <v>2150</v>
      </c>
      <c r="D125">
        <v>500</v>
      </c>
      <c r="E125">
        <v>4.4000000000000004</v>
      </c>
      <c r="F125">
        <v>14</v>
      </c>
    </row>
    <row r="126" spans="1:6" x14ac:dyDescent="0.3">
      <c r="A126" s="6" t="s">
        <v>338</v>
      </c>
      <c r="B126">
        <v>1650</v>
      </c>
      <c r="C126">
        <v>2150</v>
      </c>
      <c r="D126">
        <v>500</v>
      </c>
      <c r="E126">
        <v>4.4000000000000004</v>
      </c>
      <c r="F126">
        <v>14</v>
      </c>
    </row>
    <row r="127" spans="1:6" x14ac:dyDescent="0.3">
      <c r="A127" s="5" t="s">
        <v>40</v>
      </c>
      <c r="B127">
        <v>799</v>
      </c>
      <c r="C127">
        <v>999</v>
      </c>
      <c r="D127">
        <v>200</v>
      </c>
      <c r="E127">
        <v>4.0999999999999996</v>
      </c>
      <c r="F127">
        <v>12</v>
      </c>
    </row>
    <row r="128" spans="1:6" x14ac:dyDescent="0.3">
      <c r="A128" s="6" t="s">
        <v>338</v>
      </c>
      <c r="B128">
        <v>799</v>
      </c>
      <c r="C128">
        <v>999</v>
      </c>
      <c r="D128">
        <v>200</v>
      </c>
      <c r="E128">
        <v>4.0999999999999996</v>
      </c>
      <c r="F128">
        <v>12</v>
      </c>
    </row>
    <row r="129" spans="1:6" x14ac:dyDescent="0.3">
      <c r="A129" s="5" t="s">
        <v>242</v>
      </c>
      <c r="B129">
        <v>330</v>
      </c>
      <c r="C129">
        <v>647</v>
      </c>
      <c r="D129">
        <v>317</v>
      </c>
      <c r="E129">
        <v>4</v>
      </c>
      <c r="F129">
        <v>1</v>
      </c>
    </row>
    <row r="130" spans="1:6" x14ac:dyDescent="0.3">
      <c r="A130" s="6" t="s">
        <v>339</v>
      </c>
      <c r="B130">
        <v>330</v>
      </c>
      <c r="C130">
        <v>647</v>
      </c>
      <c r="D130">
        <v>317</v>
      </c>
      <c r="E130">
        <v>4</v>
      </c>
      <c r="F130">
        <v>1</v>
      </c>
    </row>
    <row r="131" spans="1:6" x14ac:dyDescent="0.3">
      <c r="A131" s="5" t="s">
        <v>190</v>
      </c>
      <c r="B131">
        <v>325</v>
      </c>
      <c r="C131">
        <v>680</v>
      </c>
      <c r="D131">
        <v>355</v>
      </c>
      <c r="E131">
        <v>2.7</v>
      </c>
      <c r="F131">
        <v>15</v>
      </c>
    </row>
    <row r="132" spans="1:6" x14ac:dyDescent="0.3">
      <c r="A132" s="6" t="s">
        <v>339</v>
      </c>
      <c r="B132">
        <v>325</v>
      </c>
      <c r="C132">
        <v>680</v>
      </c>
      <c r="D132">
        <v>355</v>
      </c>
      <c r="E132">
        <v>2.7</v>
      </c>
      <c r="F132">
        <v>15</v>
      </c>
    </row>
    <row r="133" spans="1:6" x14ac:dyDescent="0.3">
      <c r="A133" s="5" t="s">
        <v>320</v>
      </c>
      <c r="B133">
        <v>3640</v>
      </c>
      <c r="C133">
        <v>4588</v>
      </c>
      <c r="D133">
        <v>948</v>
      </c>
      <c r="E133">
        <v>5</v>
      </c>
      <c r="F133">
        <v>1</v>
      </c>
    </row>
    <row r="134" spans="1:6" x14ac:dyDescent="0.3">
      <c r="A134" s="6" t="s">
        <v>338</v>
      </c>
      <c r="B134">
        <v>3640</v>
      </c>
      <c r="C134">
        <v>4588</v>
      </c>
      <c r="D134">
        <v>948</v>
      </c>
      <c r="E134">
        <v>5</v>
      </c>
      <c r="F134">
        <v>1</v>
      </c>
    </row>
    <row r="135" spans="1:6" x14ac:dyDescent="0.3">
      <c r="A135" s="5" t="s">
        <v>210</v>
      </c>
      <c r="B135">
        <v>2300</v>
      </c>
      <c r="C135">
        <v>3240</v>
      </c>
      <c r="D135">
        <v>940</v>
      </c>
      <c r="E135">
        <v>3</v>
      </c>
      <c r="F135">
        <v>5</v>
      </c>
    </row>
    <row r="136" spans="1:6" x14ac:dyDescent="0.3">
      <c r="A136" s="6" t="s">
        <v>338</v>
      </c>
      <c r="B136">
        <v>2300</v>
      </c>
      <c r="C136">
        <v>3240</v>
      </c>
      <c r="D136">
        <v>940</v>
      </c>
      <c r="E136">
        <v>3</v>
      </c>
      <c r="F136">
        <v>5</v>
      </c>
    </row>
    <row r="137" spans="1:6" x14ac:dyDescent="0.3">
      <c r="A137" s="5" t="s">
        <v>81</v>
      </c>
      <c r="B137">
        <v>2048</v>
      </c>
      <c r="C137">
        <v>4500</v>
      </c>
      <c r="D137">
        <v>2452</v>
      </c>
      <c r="E137">
        <v>4.3</v>
      </c>
      <c r="F137">
        <v>7</v>
      </c>
    </row>
    <row r="138" spans="1:6" x14ac:dyDescent="0.3">
      <c r="A138" s="6" t="s">
        <v>339</v>
      </c>
      <c r="B138">
        <v>2048</v>
      </c>
      <c r="C138">
        <v>4500</v>
      </c>
      <c r="D138">
        <v>2452</v>
      </c>
      <c r="E138">
        <v>4.3</v>
      </c>
      <c r="F138">
        <v>7</v>
      </c>
    </row>
    <row r="139" spans="1:6" x14ac:dyDescent="0.3">
      <c r="A139" s="5" t="s">
        <v>61</v>
      </c>
      <c r="B139">
        <v>2025</v>
      </c>
      <c r="C139">
        <v>3971</v>
      </c>
      <c r="D139">
        <v>1946</v>
      </c>
      <c r="E139">
        <v>5</v>
      </c>
      <c r="F139">
        <v>3</v>
      </c>
    </row>
    <row r="140" spans="1:6" x14ac:dyDescent="0.3">
      <c r="A140" s="6" t="s">
        <v>339</v>
      </c>
      <c r="B140">
        <v>2025</v>
      </c>
      <c r="C140">
        <v>3971</v>
      </c>
      <c r="D140">
        <v>1946</v>
      </c>
      <c r="E140">
        <v>5</v>
      </c>
      <c r="F140">
        <v>3</v>
      </c>
    </row>
    <row r="141" spans="1:6" x14ac:dyDescent="0.3">
      <c r="A141" s="5" t="s">
        <v>48</v>
      </c>
      <c r="B141">
        <v>501</v>
      </c>
      <c r="C141">
        <v>860</v>
      </c>
      <c r="D141">
        <v>359</v>
      </c>
      <c r="E141">
        <v>4.5</v>
      </c>
      <c r="F141">
        <v>6</v>
      </c>
    </row>
    <row r="142" spans="1:6" x14ac:dyDescent="0.3">
      <c r="A142" s="6" t="s">
        <v>338</v>
      </c>
      <c r="B142">
        <v>501</v>
      </c>
      <c r="C142">
        <v>860</v>
      </c>
      <c r="D142">
        <v>359</v>
      </c>
      <c r="E142">
        <v>4.5</v>
      </c>
      <c r="F142">
        <v>6</v>
      </c>
    </row>
    <row r="143" spans="1:6" x14ac:dyDescent="0.3">
      <c r="A143" s="5" t="s">
        <v>33</v>
      </c>
      <c r="B143">
        <v>1274</v>
      </c>
      <c r="C143">
        <v>2800</v>
      </c>
      <c r="D143">
        <v>1526</v>
      </c>
      <c r="E143">
        <v>4.8</v>
      </c>
      <c r="F143">
        <v>5</v>
      </c>
    </row>
    <row r="144" spans="1:6" x14ac:dyDescent="0.3">
      <c r="A144" s="6" t="s">
        <v>339</v>
      </c>
      <c r="B144">
        <v>1274</v>
      </c>
      <c r="C144">
        <v>2800</v>
      </c>
      <c r="D144">
        <v>1526</v>
      </c>
      <c r="E144">
        <v>4.8</v>
      </c>
      <c r="F144">
        <v>5</v>
      </c>
    </row>
    <row r="145" spans="1:6" x14ac:dyDescent="0.3">
      <c r="A145" s="5" t="s">
        <v>121</v>
      </c>
      <c r="B145">
        <v>2750</v>
      </c>
      <c r="C145">
        <v>4471</v>
      </c>
      <c r="D145">
        <v>1721</v>
      </c>
      <c r="E145">
        <v>0</v>
      </c>
      <c r="F145">
        <v>0</v>
      </c>
    </row>
    <row r="146" spans="1:6" x14ac:dyDescent="0.3">
      <c r="A146" s="6" t="s">
        <v>338</v>
      </c>
      <c r="B146">
        <v>2750</v>
      </c>
      <c r="C146">
        <v>4471</v>
      </c>
      <c r="D146">
        <v>1721</v>
      </c>
      <c r="E146">
        <v>0</v>
      </c>
      <c r="F146">
        <v>0</v>
      </c>
    </row>
    <row r="147" spans="1:6" x14ac:dyDescent="0.3">
      <c r="A147" s="5" t="s">
        <v>313</v>
      </c>
      <c r="B147">
        <v>1820</v>
      </c>
      <c r="C147">
        <v>3490</v>
      </c>
      <c r="D147">
        <v>1670</v>
      </c>
      <c r="E147">
        <v>4.3</v>
      </c>
      <c r="F147">
        <v>9</v>
      </c>
    </row>
    <row r="148" spans="1:6" x14ac:dyDescent="0.3">
      <c r="A148" s="6" t="s">
        <v>339</v>
      </c>
      <c r="B148">
        <v>1820</v>
      </c>
      <c r="C148">
        <v>3490</v>
      </c>
      <c r="D148">
        <v>1670</v>
      </c>
      <c r="E148">
        <v>4.3</v>
      </c>
      <c r="F148">
        <v>9</v>
      </c>
    </row>
    <row r="149" spans="1:6" x14ac:dyDescent="0.3">
      <c r="A149" s="5" t="s">
        <v>312</v>
      </c>
      <c r="B149">
        <v>880</v>
      </c>
      <c r="C149">
        <v>1350</v>
      </c>
      <c r="D149">
        <v>470</v>
      </c>
      <c r="E149">
        <v>4</v>
      </c>
      <c r="F149">
        <v>6</v>
      </c>
    </row>
    <row r="150" spans="1:6" x14ac:dyDescent="0.3">
      <c r="A150" s="6" t="s">
        <v>338</v>
      </c>
      <c r="B150">
        <v>880</v>
      </c>
      <c r="C150">
        <v>1350</v>
      </c>
      <c r="D150">
        <v>470</v>
      </c>
      <c r="E150">
        <v>4</v>
      </c>
      <c r="F150">
        <v>6</v>
      </c>
    </row>
    <row r="151" spans="1:6" x14ac:dyDescent="0.3">
      <c r="A151" s="5" t="s">
        <v>294</v>
      </c>
      <c r="B151">
        <v>1150</v>
      </c>
      <c r="C151">
        <v>1737</v>
      </c>
      <c r="D151">
        <v>587</v>
      </c>
      <c r="E151">
        <v>0</v>
      </c>
      <c r="F151">
        <v>0</v>
      </c>
    </row>
    <row r="152" spans="1:6" x14ac:dyDescent="0.3">
      <c r="A152" s="6" t="s">
        <v>338</v>
      </c>
      <c r="B152">
        <v>1150</v>
      </c>
      <c r="C152">
        <v>1737</v>
      </c>
      <c r="D152">
        <v>587</v>
      </c>
      <c r="E152">
        <v>0</v>
      </c>
      <c r="F152">
        <v>0</v>
      </c>
    </row>
    <row r="153" spans="1:6" x14ac:dyDescent="0.3">
      <c r="A153" s="5" t="s">
        <v>64</v>
      </c>
      <c r="B153">
        <v>2999</v>
      </c>
      <c r="C153">
        <v>3699</v>
      </c>
      <c r="D153">
        <v>700</v>
      </c>
      <c r="E153">
        <v>4.5999999999999996</v>
      </c>
      <c r="F153">
        <v>5</v>
      </c>
    </row>
    <row r="154" spans="1:6" x14ac:dyDescent="0.3">
      <c r="A154" s="6" t="s">
        <v>340</v>
      </c>
      <c r="B154">
        <v>2999</v>
      </c>
      <c r="C154">
        <v>3699</v>
      </c>
      <c r="D154">
        <v>700</v>
      </c>
      <c r="E154">
        <v>4.5999999999999996</v>
      </c>
      <c r="F154">
        <v>5</v>
      </c>
    </row>
    <row r="155" spans="1:6" x14ac:dyDescent="0.3">
      <c r="A155" s="5" t="s">
        <v>319</v>
      </c>
      <c r="B155">
        <v>1189</v>
      </c>
      <c r="C155">
        <v>2199</v>
      </c>
      <c r="D155">
        <v>1010</v>
      </c>
      <c r="E155">
        <v>3</v>
      </c>
      <c r="F155">
        <v>1</v>
      </c>
    </row>
    <row r="156" spans="1:6" x14ac:dyDescent="0.3">
      <c r="A156" s="6" t="s">
        <v>339</v>
      </c>
      <c r="B156">
        <v>1189</v>
      </c>
      <c r="C156">
        <v>2199</v>
      </c>
      <c r="D156">
        <v>1010</v>
      </c>
      <c r="E156">
        <v>3</v>
      </c>
      <c r="F156">
        <v>1</v>
      </c>
    </row>
    <row r="157" spans="1:6" x14ac:dyDescent="0.3">
      <c r="A157" s="5" t="s">
        <v>9</v>
      </c>
      <c r="B157">
        <v>527</v>
      </c>
      <c r="C157">
        <v>999</v>
      </c>
      <c r="D157">
        <v>472</v>
      </c>
      <c r="E157">
        <v>4.0999999999999996</v>
      </c>
      <c r="F157">
        <v>14</v>
      </c>
    </row>
    <row r="158" spans="1:6" x14ac:dyDescent="0.3">
      <c r="A158" s="6" t="s">
        <v>339</v>
      </c>
      <c r="B158">
        <v>527</v>
      </c>
      <c r="C158">
        <v>999</v>
      </c>
      <c r="D158">
        <v>472</v>
      </c>
      <c r="E158">
        <v>4.0999999999999996</v>
      </c>
      <c r="F158">
        <v>14</v>
      </c>
    </row>
    <row r="159" spans="1:6" x14ac:dyDescent="0.3">
      <c r="A159" s="5" t="s">
        <v>276</v>
      </c>
      <c r="B159">
        <v>3546</v>
      </c>
      <c r="C159">
        <v>3699</v>
      </c>
      <c r="D159">
        <v>153</v>
      </c>
      <c r="E159">
        <v>0</v>
      </c>
      <c r="F159">
        <v>0</v>
      </c>
    </row>
    <row r="160" spans="1:6" x14ac:dyDescent="0.3">
      <c r="A160" s="6" t="s">
        <v>340</v>
      </c>
      <c r="B160">
        <v>3546</v>
      </c>
      <c r="C160">
        <v>3699</v>
      </c>
      <c r="D160">
        <v>153</v>
      </c>
      <c r="E160">
        <v>0</v>
      </c>
      <c r="F160">
        <v>0</v>
      </c>
    </row>
    <row r="161" spans="1:6" x14ac:dyDescent="0.3">
      <c r="A161" s="5" t="s">
        <v>127</v>
      </c>
      <c r="B161">
        <v>238</v>
      </c>
      <c r="C161">
        <v>476</v>
      </c>
      <c r="D161">
        <v>238</v>
      </c>
      <c r="E161">
        <v>0</v>
      </c>
      <c r="F161">
        <v>0</v>
      </c>
    </row>
    <row r="162" spans="1:6" x14ac:dyDescent="0.3">
      <c r="A162" s="6" t="s">
        <v>339</v>
      </c>
      <c r="B162">
        <v>238</v>
      </c>
      <c r="C162">
        <v>476</v>
      </c>
      <c r="D162">
        <v>238</v>
      </c>
      <c r="E162">
        <v>0</v>
      </c>
      <c r="F162">
        <v>0</v>
      </c>
    </row>
    <row r="163" spans="1:6" x14ac:dyDescent="0.3">
      <c r="A163" s="5" t="s">
        <v>51</v>
      </c>
      <c r="B163">
        <v>1680</v>
      </c>
      <c r="C163">
        <v>2499</v>
      </c>
      <c r="D163">
        <v>819</v>
      </c>
      <c r="E163">
        <v>4.2</v>
      </c>
      <c r="F163">
        <v>9</v>
      </c>
    </row>
    <row r="164" spans="1:6" x14ac:dyDescent="0.3">
      <c r="A164" s="6" t="s">
        <v>338</v>
      </c>
      <c r="B164">
        <v>1680</v>
      </c>
      <c r="C164">
        <v>2499</v>
      </c>
      <c r="D164">
        <v>819</v>
      </c>
      <c r="E164">
        <v>4.2</v>
      </c>
      <c r="F164">
        <v>9</v>
      </c>
    </row>
    <row r="165" spans="1:6" x14ac:dyDescent="0.3">
      <c r="A165" s="5" t="s">
        <v>255</v>
      </c>
      <c r="B165">
        <v>630</v>
      </c>
      <c r="C165">
        <v>1100</v>
      </c>
      <c r="D165">
        <v>470</v>
      </c>
      <c r="E165">
        <v>0</v>
      </c>
      <c r="F165">
        <v>0</v>
      </c>
    </row>
    <row r="166" spans="1:6" x14ac:dyDescent="0.3">
      <c r="A166" s="6" t="s">
        <v>338</v>
      </c>
      <c r="B166">
        <v>630</v>
      </c>
      <c r="C166">
        <v>1100</v>
      </c>
      <c r="D166">
        <v>470</v>
      </c>
      <c r="E166">
        <v>0</v>
      </c>
      <c r="F166">
        <v>0</v>
      </c>
    </row>
    <row r="167" spans="1:6" x14ac:dyDescent="0.3">
      <c r="A167" s="5" t="s">
        <v>95</v>
      </c>
      <c r="B167">
        <v>2200</v>
      </c>
      <c r="C167">
        <v>4080</v>
      </c>
      <c r="D167">
        <v>1880</v>
      </c>
      <c r="E167">
        <v>0</v>
      </c>
      <c r="F167">
        <v>0</v>
      </c>
    </row>
    <row r="168" spans="1:6" x14ac:dyDescent="0.3">
      <c r="A168" s="6" t="s">
        <v>339</v>
      </c>
      <c r="B168">
        <v>2200</v>
      </c>
      <c r="C168">
        <v>4080</v>
      </c>
      <c r="D168">
        <v>1880</v>
      </c>
      <c r="E168">
        <v>0</v>
      </c>
      <c r="F168">
        <v>0</v>
      </c>
    </row>
    <row r="169" spans="1:6" x14ac:dyDescent="0.3">
      <c r="A169" s="5" t="s">
        <v>157</v>
      </c>
      <c r="B169">
        <v>1459</v>
      </c>
      <c r="C169">
        <v>1499</v>
      </c>
      <c r="D169">
        <v>40</v>
      </c>
      <c r="E169">
        <v>0</v>
      </c>
      <c r="F169">
        <v>0</v>
      </c>
    </row>
    <row r="170" spans="1:6" x14ac:dyDescent="0.3">
      <c r="A170" s="6" t="s">
        <v>340</v>
      </c>
      <c r="B170">
        <v>1459</v>
      </c>
      <c r="C170">
        <v>1499</v>
      </c>
      <c r="D170">
        <v>40</v>
      </c>
      <c r="E170">
        <v>0</v>
      </c>
      <c r="F170">
        <v>0</v>
      </c>
    </row>
    <row r="171" spans="1:6" x14ac:dyDescent="0.3">
      <c r="A171" s="5" t="s">
        <v>178</v>
      </c>
      <c r="B171">
        <v>458</v>
      </c>
      <c r="C171">
        <v>986</v>
      </c>
      <c r="D171">
        <v>528</v>
      </c>
      <c r="E171">
        <v>3</v>
      </c>
      <c r="F171">
        <v>10</v>
      </c>
    </row>
    <row r="172" spans="1:6" x14ac:dyDescent="0.3">
      <c r="A172" s="6" t="s">
        <v>339</v>
      </c>
      <c r="B172">
        <v>458</v>
      </c>
      <c r="C172">
        <v>986</v>
      </c>
      <c r="D172">
        <v>528</v>
      </c>
      <c r="E172">
        <v>3</v>
      </c>
      <c r="F172">
        <v>10</v>
      </c>
    </row>
    <row r="173" spans="1:6" x14ac:dyDescent="0.3">
      <c r="A173" s="5" t="s">
        <v>245</v>
      </c>
      <c r="B173">
        <v>1466</v>
      </c>
      <c r="C173">
        <v>1699</v>
      </c>
      <c r="D173">
        <v>233</v>
      </c>
      <c r="E173">
        <v>0</v>
      </c>
      <c r="F173">
        <v>0</v>
      </c>
    </row>
    <row r="174" spans="1:6" x14ac:dyDescent="0.3">
      <c r="A174" s="6" t="s">
        <v>340</v>
      </c>
      <c r="B174">
        <v>1466</v>
      </c>
      <c r="C174">
        <v>1699</v>
      </c>
      <c r="D174">
        <v>233</v>
      </c>
      <c r="E174">
        <v>0</v>
      </c>
      <c r="F174">
        <v>0</v>
      </c>
    </row>
    <row r="175" spans="1:6" x14ac:dyDescent="0.3">
      <c r="A175" s="5" t="s">
        <v>250</v>
      </c>
      <c r="B175">
        <v>799</v>
      </c>
      <c r="C175">
        <v>900</v>
      </c>
      <c r="D175">
        <v>101</v>
      </c>
      <c r="E175">
        <v>0</v>
      </c>
      <c r="F175">
        <v>0</v>
      </c>
    </row>
    <row r="176" spans="1:6" x14ac:dyDescent="0.3">
      <c r="A176" s="6" t="s">
        <v>340</v>
      </c>
      <c r="B176">
        <v>799</v>
      </c>
      <c r="C176">
        <v>900</v>
      </c>
      <c r="D176">
        <v>101</v>
      </c>
      <c r="E176">
        <v>0</v>
      </c>
      <c r="F176">
        <v>0</v>
      </c>
    </row>
    <row r="177" spans="1:6" x14ac:dyDescent="0.3">
      <c r="A177" s="5" t="s">
        <v>58</v>
      </c>
      <c r="B177">
        <v>195</v>
      </c>
      <c r="C177">
        <v>360</v>
      </c>
      <c r="D177">
        <v>165</v>
      </c>
      <c r="E177">
        <v>5</v>
      </c>
      <c r="F177">
        <v>2</v>
      </c>
    </row>
    <row r="178" spans="1:6" x14ac:dyDescent="0.3">
      <c r="A178" s="6" t="s">
        <v>339</v>
      </c>
      <c r="B178">
        <v>195</v>
      </c>
      <c r="C178">
        <v>360</v>
      </c>
      <c r="D178">
        <v>165</v>
      </c>
      <c r="E178">
        <v>5</v>
      </c>
      <c r="F178">
        <v>2</v>
      </c>
    </row>
    <row r="179" spans="1:6" x14ac:dyDescent="0.3">
      <c r="A179" s="5" t="s">
        <v>152</v>
      </c>
      <c r="B179">
        <v>1660</v>
      </c>
      <c r="C179">
        <v>1699</v>
      </c>
      <c r="D179">
        <v>39</v>
      </c>
      <c r="E179">
        <v>0</v>
      </c>
      <c r="F179">
        <v>0</v>
      </c>
    </row>
    <row r="180" spans="1:6" x14ac:dyDescent="0.3">
      <c r="A180" s="6" t="s">
        <v>340</v>
      </c>
      <c r="B180">
        <v>1660</v>
      </c>
      <c r="C180">
        <v>1699</v>
      </c>
      <c r="D180">
        <v>39</v>
      </c>
      <c r="E180">
        <v>0</v>
      </c>
      <c r="F180">
        <v>0</v>
      </c>
    </row>
    <row r="181" spans="1:6" x14ac:dyDescent="0.3">
      <c r="A181" s="5" t="s">
        <v>155</v>
      </c>
      <c r="B181">
        <v>299</v>
      </c>
      <c r="C181">
        <v>384</v>
      </c>
      <c r="D181">
        <v>85</v>
      </c>
      <c r="E181">
        <v>0</v>
      </c>
      <c r="F181">
        <v>0</v>
      </c>
    </row>
    <row r="182" spans="1:6" x14ac:dyDescent="0.3">
      <c r="A182" s="6" t="s">
        <v>338</v>
      </c>
      <c r="B182">
        <v>299</v>
      </c>
      <c r="C182">
        <v>384</v>
      </c>
      <c r="D182">
        <v>85</v>
      </c>
      <c r="E182">
        <v>0</v>
      </c>
      <c r="F182">
        <v>0</v>
      </c>
    </row>
    <row r="183" spans="1:6" x14ac:dyDescent="0.3">
      <c r="A183" s="5" t="s">
        <v>21</v>
      </c>
      <c r="B183">
        <v>1740</v>
      </c>
      <c r="C183">
        <v>2356</v>
      </c>
      <c r="D183">
        <v>616</v>
      </c>
      <c r="E183">
        <v>4.8</v>
      </c>
      <c r="F183">
        <v>5</v>
      </c>
    </row>
    <row r="184" spans="1:6" x14ac:dyDescent="0.3">
      <c r="A184" s="6" t="s">
        <v>338</v>
      </c>
      <c r="B184">
        <v>1740</v>
      </c>
      <c r="C184">
        <v>2356</v>
      </c>
      <c r="D184">
        <v>616</v>
      </c>
      <c r="E184">
        <v>4.8</v>
      </c>
      <c r="F184">
        <v>5</v>
      </c>
    </row>
    <row r="185" spans="1:6" x14ac:dyDescent="0.3">
      <c r="A185" s="5" t="s">
        <v>13</v>
      </c>
      <c r="B185">
        <v>2199</v>
      </c>
      <c r="C185">
        <v>2923</v>
      </c>
      <c r="D185">
        <v>724</v>
      </c>
      <c r="E185">
        <v>4.5999999999999996</v>
      </c>
      <c r="F185">
        <v>24</v>
      </c>
    </row>
    <row r="186" spans="1:6" x14ac:dyDescent="0.3">
      <c r="A186" s="6" t="s">
        <v>338</v>
      </c>
      <c r="B186">
        <v>2199</v>
      </c>
      <c r="C186">
        <v>2923</v>
      </c>
      <c r="D186">
        <v>724</v>
      </c>
      <c r="E186">
        <v>4.5999999999999996</v>
      </c>
      <c r="F186">
        <v>24</v>
      </c>
    </row>
    <row r="187" spans="1:6" x14ac:dyDescent="0.3">
      <c r="A187" s="5" t="s">
        <v>271</v>
      </c>
      <c r="B187">
        <v>1462</v>
      </c>
      <c r="C187">
        <v>1499</v>
      </c>
      <c r="D187">
        <v>37</v>
      </c>
      <c r="E187">
        <v>0</v>
      </c>
      <c r="F187">
        <v>0</v>
      </c>
    </row>
    <row r="188" spans="1:6" x14ac:dyDescent="0.3">
      <c r="A188" s="6" t="s">
        <v>340</v>
      </c>
      <c r="B188">
        <v>1462</v>
      </c>
      <c r="C188">
        <v>1499</v>
      </c>
      <c r="D188">
        <v>37</v>
      </c>
      <c r="E188">
        <v>0</v>
      </c>
      <c r="F188">
        <v>0</v>
      </c>
    </row>
    <row r="189" spans="1:6" x14ac:dyDescent="0.3">
      <c r="A189" s="5" t="s">
        <v>88</v>
      </c>
      <c r="B189">
        <v>2880</v>
      </c>
      <c r="C189">
        <v>3520</v>
      </c>
      <c r="D189">
        <v>640</v>
      </c>
      <c r="E189">
        <v>3.8</v>
      </c>
      <c r="F189">
        <v>12</v>
      </c>
    </row>
    <row r="190" spans="1:6" x14ac:dyDescent="0.3">
      <c r="A190" s="6" t="s">
        <v>340</v>
      </c>
      <c r="B190">
        <v>2880</v>
      </c>
      <c r="C190">
        <v>3520</v>
      </c>
      <c r="D190">
        <v>640</v>
      </c>
      <c r="E190">
        <v>3.8</v>
      </c>
      <c r="F190">
        <v>12</v>
      </c>
    </row>
    <row r="191" spans="1:6" x14ac:dyDescent="0.3">
      <c r="A191" s="5" t="s">
        <v>261</v>
      </c>
      <c r="B191">
        <v>1300</v>
      </c>
      <c r="C191">
        <v>2500</v>
      </c>
      <c r="D191">
        <v>1200</v>
      </c>
      <c r="E191">
        <v>0</v>
      </c>
      <c r="F191">
        <v>0</v>
      </c>
    </row>
    <row r="192" spans="1:6" x14ac:dyDescent="0.3">
      <c r="A192" s="6" t="s">
        <v>339</v>
      </c>
      <c r="B192">
        <v>1300</v>
      </c>
      <c r="C192">
        <v>2500</v>
      </c>
      <c r="D192">
        <v>1200</v>
      </c>
      <c r="E192">
        <v>0</v>
      </c>
      <c r="F192">
        <v>0</v>
      </c>
    </row>
    <row r="193" spans="1:6" x14ac:dyDescent="0.3">
      <c r="A193" s="5" t="s">
        <v>116</v>
      </c>
      <c r="B193">
        <v>389</v>
      </c>
      <c r="C193">
        <v>656</v>
      </c>
      <c r="D193">
        <v>267</v>
      </c>
      <c r="E193">
        <v>4.3</v>
      </c>
      <c r="F193">
        <v>36</v>
      </c>
    </row>
    <row r="194" spans="1:6" x14ac:dyDescent="0.3">
      <c r="A194" s="6" t="s">
        <v>338</v>
      </c>
      <c r="B194">
        <v>389</v>
      </c>
      <c r="C194">
        <v>656</v>
      </c>
      <c r="D194">
        <v>267</v>
      </c>
      <c r="E194">
        <v>4.3</v>
      </c>
      <c r="F194">
        <v>36</v>
      </c>
    </row>
    <row r="195" spans="1:6" x14ac:dyDescent="0.3">
      <c r="A195" s="5" t="s">
        <v>263</v>
      </c>
      <c r="B195">
        <v>105</v>
      </c>
      <c r="C195">
        <v>200</v>
      </c>
      <c r="D195">
        <v>95</v>
      </c>
      <c r="E195">
        <v>0</v>
      </c>
      <c r="F195">
        <v>0</v>
      </c>
    </row>
    <row r="196" spans="1:6" x14ac:dyDescent="0.3">
      <c r="A196" s="6" t="s">
        <v>339</v>
      </c>
      <c r="B196">
        <v>105</v>
      </c>
      <c r="C196">
        <v>200</v>
      </c>
      <c r="D196">
        <v>95</v>
      </c>
      <c r="E196">
        <v>0</v>
      </c>
      <c r="F196">
        <v>0</v>
      </c>
    </row>
    <row r="197" spans="1:6" x14ac:dyDescent="0.3">
      <c r="A197" s="5" t="s">
        <v>132</v>
      </c>
      <c r="B197">
        <v>2132</v>
      </c>
      <c r="C197">
        <v>2169</v>
      </c>
      <c r="D197">
        <v>37</v>
      </c>
      <c r="E197">
        <v>0</v>
      </c>
      <c r="F197">
        <v>0</v>
      </c>
    </row>
    <row r="198" spans="1:6" x14ac:dyDescent="0.3">
      <c r="A198" s="6" t="s">
        <v>340</v>
      </c>
      <c r="B198">
        <v>2132</v>
      </c>
      <c r="C198">
        <v>2169</v>
      </c>
      <c r="D198">
        <v>37</v>
      </c>
      <c r="E198">
        <v>0</v>
      </c>
      <c r="F198">
        <v>0</v>
      </c>
    </row>
    <row r="199" spans="1:6" x14ac:dyDescent="0.3">
      <c r="A199" s="5" t="s">
        <v>299</v>
      </c>
      <c r="B199">
        <v>1658</v>
      </c>
      <c r="C199">
        <v>1699</v>
      </c>
      <c r="D199">
        <v>41</v>
      </c>
      <c r="E199">
        <v>0</v>
      </c>
      <c r="F199">
        <v>0</v>
      </c>
    </row>
    <row r="200" spans="1:6" x14ac:dyDescent="0.3">
      <c r="A200" s="6" t="s">
        <v>340</v>
      </c>
      <c r="B200">
        <v>1658</v>
      </c>
      <c r="C200">
        <v>1699</v>
      </c>
      <c r="D200">
        <v>41</v>
      </c>
      <c r="E200">
        <v>0</v>
      </c>
      <c r="F200">
        <v>0</v>
      </c>
    </row>
    <row r="201" spans="1:6" x14ac:dyDescent="0.3">
      <c r="A201" s="5" t="s">
        <v>162</v>
      </c>
      <c r="B201">
        <v>898</v>
      </c>
      <c r="C201">
        <v>1796</v>
      </c>
      <c r="D201">
        <v>898</v>
      </c>
      <c r="E201">
        <v>0</v>
      </c>
      <c r="F201">
        <v>0</v>
      </c>
    </row>
    <row r="202" spans="1:6" x14ac:dyDescent="0.3">
      <c r="A202" s="6" t="s">
        <v>339</v>
      </c>
      <c r="B202">
        <v>898</v>
      </c>
      <c r="C202">
        <v>1796</v>
      </c>
      <c r="D202">
        <v>898</v>
      </c>
      <c r="E202">
        <v>0</v>
      </c>
      <c r="F202">
        <v>0</v>
      </c>
    </row>
    <row r="203" spans="1:6" x14ac:dyDescent="0.3">
      <c r="A203" s="5" t="s">
        <v>301</v>
      </c>
      <c r="B203">
        <v>1768</v>
      </c>
      <c r="C203">
        <v>1799</v>
      </c>
      <c r="D203">
        <v>31</v>
      </c>
      <c r="E203">
        <v>0</v>
      </c>
      <c r="F203">
        <v>0</v>
      </c>
    </row>
    <row r="204" spans="1:6" x14ac:dyDescent="0.3">
      <c r="A204" s="6" t="s">
        <v>340</v>
      </c>
      <c r="B204">
        <v>1768</v>
      </c>
      <c r="C204">
        <v>1799</v>
      </c>
      <c r="D204">
        <v>31</v>
      </c>
      <c r="E204">
        <v>0</v>
      </c>
      <c r="F204">
        <v>0</v>
      </c>
    </row>
    <row r="205" spans="1:6" x14ac:dyDescent="0.3">
      <c r="A205" s="5" t="s">
        <v>194</v>
      </c>
      <c r="B205">
        <v>1220</v>
      </c>
      <c r="C205">
        <v>1555</v>
      </c>
      <c r="D205">
        <v>335</v>
      </c>
      <c r="E205">
        <v>2.9</v>
      </c>
      <c r="F205">
        <v>16</v>
      </c>
    </row>
    <row r="206" spans="1:6" x14ac:dyDescent="0.3">
      <c r="A206" s="6" t="s">
        <v>338</v>
      </c>
      <c r="B206">
        <v>1220</v>
      </c>
      <c r="C206">
        <v>1555</v>
      </c>
      <c r="D206">
        <v>335</v>
      </c>
      <c r="E206">
        <v>2.9</v>
      </c>
      <c r="F206">
        <v>16</v>
      </c>
    </row>
    <row r="207" spans="1:6" x14ac:dyDescent="0.3">
      <c r="A207" s="5" t="s">
        <v>258</v>
      </c>
      <c r="B207">
        <v>850</v>
      </c>
      <c r="C207">
        <v>1700</v>
      </c>
      <c r="D207">
        <v>850</v>
      </c>
      <c r="E207">
        <v>0</v>
      </c>
      <c r="F207">
        <v>0</v>
      </c>
    </row>
    <row r="208" spans="1:6" x14ac:dyDescent="0.3">
      <c r="A208" s="6" t="s">
        <v>339</v>
      </c>
      <c r="B208">
        <v>850</v>
      </c>
      <c r="C208">
        <v>1700</v>
      </c>
      <c r="D208">
        <v>850</v>
      </c>
      <c r="E208">
        <v>0</v>
      </c>
      <c r="F208">
        <v>0</v>
      </c>
    </row>
    <row r="209" spans="1:6" x14ac:dyDescent="0.3">
      <c r="A209" s="5" t="s">
        <v>269</v>
      </c>
      <c r="B209">
        <v>1526</v>
      </c>
      <c r="C209">
        <v>1660</v>
      </c>
      <c r="D209">
        <v>134</v>
      </c>
      <c r="E209">
        <v>0</v>
      </c>
      <c r="F209">
        <v>0</v>
      </c>
    </row>
    <row r="210" spans="1:6" x14ac:dyDescent="0.3">
      <c r="A210" s="6" t="s">
        <v>340</v>
      </c>
      <c r="B210">
        <v>1526</v>
      </c>
      <c r="C210">
        <v>1660</v>
      </c>
      <c r="D210">
        <v>134</v>
      </c>
      <c r="E210">
        <v>0</v>
      </c>
      <c r="F210">
        <v>0</v>
      </c>
    </row>
    <row r="211" spans="1:6" x14ac:dyDescent="0.3">
      <c r="A211" s="5" t="s">
        <v>305</v>
      </c>
      <c r="B211">
        <v>450</v>
      </c>
      <c r="C211">
        <v>900</v>
      </c>
      <c r="D211">
        <v>450</v>
      </c>
      <c r="E211">
        <v>2</v>
      </c>
      <c r="F211">
        <v>1</v>
      </c>
    </row>
    <row r="212" spans="1:6" x14ac:dyDescent="0.3">
      <c r="A212" s="6" t="s">
        <v>339</v>
      </c>
      <c r="B212">
        <v>450</v>
      </c>
      <c r="C212">
        <v>900</v>
      </c>
      <c r="D212">
        <v>450</v>
      </c>
      <c r="E212">
        <v>2</v>
      </c>
      <c r="F212">
        <v>1</v>
      </c>
    </row>
    <row r="213" spans="1:6" x14ac:dyDescent="0.3">
      <c r="A213" s="5" t="s">
        <v>253</v>
      </c>
      <c r="B213">
        <v>1468</v>
      </c>
      <c r="C213">
        <v>1699</v>
      </c>
      <c r="D213">
        <v>231</v>
      </c>
      <c r="E213">
        <v>0</v>
      </c>
      <c r="F213">
        <v>0</v>
      </c>
    </row>
    <row r="214" spans="1:6" x14ac:dyDescent="0.3">
      <c r="A214" s="6" t="s">
        <v>340</v>
      </c>
      <c r="B214">
        <v>1468</v>
      </c>
      <c r="C214">
        <v>1699</v>
      </c>
      <c r="D214">
        <v>231</v>
      </c>
      <c r="E214">
        <v>0</v>
      </c>
      <c r="F214">
        <v>0</v>
      </c>
    </row>
    <row r="215" spans="1:6" x14ac:dyDescent="0.3">
      <c r="A215" s="5" t="s">
        <v>213</v>
      </c>
      <c r="B215">
        <v>345</v>
      </c>
      <c r="C215">
        <v>602</v>
      </c>
      <c r="D215">
        <v>257</v>
      </c>
      <c r="E215">
        <v>2.2999999999999998</v>
      </c>
      <c r="F215">
        <v>6</v>
      </c>
    </row>
    <row r="216" spans="1:6" x14ac:dyDescent="0.3">
      <c r="A216" s="6" t="s">
        <v>338</v>
      </c>
      <c r="B216">
        <v>345</v>
      </c>
      <c r="C216">
        <v>602</v>
      </c>
      <c r="D216">
        <v>257</v>
      </c>
      <c r="E216">
        <v>2.2999999999999998</v>
      </c>
      <c r="F216">
        <v>6</v>
      </c>
    </row>
    <row r="217" spans="1:6" x14ac:dyDescent="0.3">
      <c r="A217" s="5" t="s">
        <v>17</v>
      </c>
      <c r="B217">
        <v>1580</v>
      </c>
      <c r="C217">
        <v>2499</v>
      </c>
      <c r="D217">
        <v>919</v>
      </c>
      <c r="E217">
        <v>4.7</v>
      </c>
      <c r="F217">
        <v>7</v>
      </c>
    </row>
    <row r="218" spans="1:6" x14ac:dyDescent="0.3">
      <c r="A218" s="6" t="s">
        <v>338</v>
      </c>
      <c r="B218">
        <v>1580</v>
      </c>
      <c r="C218">
        <v>2499</v>
      </c>
      <c r="D218">
        <v>919</v>
      </c>
      <c r="E218">
        <v>4.7</v>
      </c>
      <c r="F218">
        <v>7</v>
      </c>
    </row>
    <row r="219" spans="1:6" x14ac:dyDescent="0.3">
      <c r="A219" s="5" t="s">
        <v>216</v>
      </c>
      <c r="B219">
        <v>509</v>
      </c>
      <c r="C219">
        <v>899</v>
      </c>
      <c r="D219">
        <v>390</v>
      </c>
      <c r="E219">
        <v>3</v>
      </c>
      <c r="F219">
        <v>5</v>
      </c>
    </row>
    <row r="220" spans="1:6" x14ac:dyDescent="0.3">
      <c r="A220" s="6" t="s">
        <v>338</v>
      </c>
      <c r="B220">
        <v>509</v>
      </c>
      <c r="C220">
        <v>899</v>
      </c>
      <c r="D220">
        <v>390</v>
      </c>
      <c r="E220">
        <v>3</v>
      </c>
      <c r="F220">
        <v>5</v>
      </c>
    </row>
    <row r="221" spans="1:6" x14ac:dyDescent="0.3">
      <c r="A221" s="5" t="s">
        <v>333</v>
      </c>
      <c r="B221">
        <v>132752</v>
      </c>
      <c r="C221">
        <v>202344</v>
      </c>
      <c r="D221">
        <v>69592</v>
      </c>
      <c r="E221">
        <v>1.9794642857142859</v>
      </c>
      <c r="F221">
        <v>6.4553571428571432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F905-A1AC-4956-BD0F-05C4DC004E87}">
  <dimension ref="A1"/>
  <sheetViews>
    <sheetView workbookViewId="0">
      <selection activeCell="E20" sqref="E20"/>
    </sheetView>
  </sheetViews>
  <sheetFormatPr defaultRowHeight="16.5"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6BBA-3633-495D-9DDA-5AC25973FF88}">
  <dimension ref="A2:F21"/>
  <sheetViews>
    <sheetView zoomScale="70" zoomScaleNormal="70" workbookViewId="0">
      <selection activeCell="A12" sqref="A12"/>
    </sheetView>
  </sheetViews>
  <sheetFormatPr defaultRowHeight="16.5" x14ac:dyDescent="0.3"/>
  <cols>
    <col min="1" max="1" width="102.875" customWidth="1"/>
    <col min="2" max="2" width="26.625" customWidth="1"/>
    <col min="3" max="3" width="21.875" customWidth="1"/>
    <col min="4" max="4" width="21.625" customWidth="1"/>
    <col min="5" max="5" width="17.625" customWidth="1"/>
    <col min="6" max="7" width="30" customWidth="1"/>
  </cols>
  <sheetData>
    <row r="2" spans="1:6" x14ac:dyDescent="0.3">
      <c r="A2" s="4" t="s">
        <v>332</v>
      </c>
      <c r="B2" t="s">
        <v>334</v>
      </c>
      <c r="C2" t="s">
        <v>335</v>
      </c>
      <c r="D2" t="s">
        <v>336</v>
      </c>
      <c r="E2" t="s">
        <v>337</v>
      </c>
      <c r="F2" t="s">
        <v>349</v>
      </c>
    </row>
    <row r="3" spans="1:6" x14ac:dyDescent="0.3">
      <c r="A3" s="5" t="s">
        <v>169</v>
      </c>
      <c r="B3">
        <v>2799</v>
      </c>
      <c r="C3">
        <v>3810</v>
      </c>
      <c r="D3">
        <v>1011</v>
      </c>
      <c r="E3">
        <v>0</v>
      </c>
      <c r="F3">
        <v>0</v>
      </c>
    </row>
    <row r="4" spans="1:6" x14ac:dyDescent="0.3">
      <c r="A4" s="5" t="s">
        <v>291</v>
      </c>
      <c r="B4">
        <v>198</v>
      </c>
      <c r="C4">
        <v>260</v>
      </c>
      <c r="D4">
        <v>62</v>
      </c>
      <c r="E4">
        <v>0</v>
      </c>
      <c r="F4">
        <v>0</v>
      </c>
    </row>
    <row r="5" spans="1:6" x14ac:dyDescent="0.3">
      <c r="A5" s="5" t="s">
        <v>143</v>
      </c>
      <c r="B5">
        <v>1200</v>
      </c>
      <c r="C5">
        <v>1950</v>
      </c>
      <c r="D5">
        <v>750</v>
      </c>
      <c r="E5">
        <v>0</v>
      </c>
      <c r="F5">
        <v>0</v>
      </c>
    </row>
    <row r="6" spans="1:6" x14ac:dyDescent="0.3">
      <c r="A6" s="5" t="s">
        <v>225</v>
      </c>
      <c r="B6">
        <v>690</v>
      </c>
      <c r="C6">
        <v>1200</v>
      </c>
      <c r="D6">
        <v>510</v>
      </c>
      <c r="E6">
        <v>0</v>
      </c>
      <c r="F6">
        <v>0</v>
      </c>
    </row>
    <row r="7" spans="1:6" x14ac:dyDescent="0.3">
      <c r="A7" s="5" t="s">
        <v>311</v>
      </c>
      <c r="B7">
        <v>1860</v>
      </c>
      <c r="C7">
        <v>3220</v>
      </c>
      <c r="D7">
        <v>1360</v>
      </c>
      <c r="E7">
        <v>0</v>
      </c>
      <c r="F7">
        <v>0</v>
      </c>
    </row>
    <row r="8" spans="1:6" x14ac:dyDescent="0.3">
      <c r="A8" s="5" t="s">
        <v>237</v>
      </c>
      <c r="B8">
        <v>1460</v>
      </c>
      <c r="C8">
        <v>2290</v>
      </c>
      <c r="D8">
        <v>830</v>
      </c>
      <c r="E8">
        <v>0</v>
      </c>
      <c r="F8">
        <v>0</v>
      </c>
    </row>
    <row r="9" spans="1:6" x14ac:dyDescent="0.3">
      <c r="A9" s="5" t="s">
        <v>137</v>
      </c>
      <c r="B9">
        <v>1190</v>
      </c>
      <c r="C9">
        <v>1785</v>
      </c>
      <c r="D9">
        <v>595</v>
      </c>
      <c r="E9">
        <v>0</v>
      </c>
      <c r="F9">
        <v>0</v>
      </c>
    </row>
    <row r="10" spans="1:6" x14ac:dyDescent="0.3">
      <c r="A10" s="5" t="s">
        <v>281</v>
      </c>
      <c r="B10">
        <v>1080</v>
      </c>
      <c r="C10">
        <v>1874</v>
      </c>
      <c r="D10">
        <v>794</v>
      </c>
      <c r="E10">
        <v>0</v>
      </c>
      <c r="F10">
        <v>0</v>
      </c>
    </row>
    <row r="11" spans="1:6" x14ac:dyDescent="0.3">
      <c r="A11" s="5" t="s">
        <v>321</v>
      </c>
      <c r="B11">
        <v>1420</v>
      </c>
      <c r="C11">
        <v>2420</v>
      </c>
      <c r="D11">
        <v>1000</v>
      </c>
      <c r="E11">
        <v>0</v>
      </c>
      <c r="F11">
        <v>0</v>
      </c>
    </row>
    <row r="12" spans="1:6" x14ac:dyDescent="0.3">
      <c r="A12" s="5" t="s">
        <v>316</v>
      </c>
      <c r="B12">
        <v>610</v>
      </c>
      <c r="C12">
        <v>1060</v>
      </c>
      <c r="D12">
        <v>450</v>
      </c>
      <c r="E12">
        <v>0</v>
      </c>
      <c r="F12">
        <v>0</v>
      </c>
    </row>
    <row r="13" spans="1:6" x14ac:dyDescent="0.3">
      <c r="A13" s="5" t="s">
        <v>297</v>
      </c>
      <c r="B13">
        <v>1190</v>
      </c>
      <c r="C13">
        <v>1810</v>
      </c>
      <c r="D13">
        <v>620</v>
      </c>
      <c r="E13">
        <v>0</v>
      </c>
      <c r="F13">
        <v>0</v>
      </c>
    </row>
    <row r="14" spans="1:6" x14ac:dyDescent="0.3">
      <c r="A14" s="5" t="s">
        <v>160</v>
      </c>
      <c r="B14">
        <v>799</v>
      </c>
      <c r="C14">
        <v>1343</v>
      </c>
      <c r="D14">
        <v>544</v>
      </c>
      <c r="E14">
        <v>0</v>
      </c>
      <c r="F14">
        <v>0</v>
      </c>
    </row>
    <row r="15" spans="1:6" x14ac:dyDescent="0.3">
      <c r="A15" s="5" t="s">
        <v>121</v>
      </c>
      <c r="B15">
        <v>2750</v>
      </c>
      <c r="C15">
        <v>4471</v>
      </c>
      <c r="D15">
        <v>1721</v>
      </c>
      <c r="E15">
        <v>0</v>
      </c>
      <c r="F15">
        <v>0</v>
      </c>
    </row>
    <row r="16" spans="1:6" x14ac:dyDescent="0.3">
      <c r="A16" s="5" t="s">
        <v>294</v>
      </c>
      <c r="B16">
        <v>1150</v>
      </c>
      <c r="C16">
        <v>1737</v>
      </c>
      <c r="D16">
        <v>587</v>
      </c>
      <c r="E16">
        <v>0</v>
      </c>
      <c r="F16">
        <v>0</v>
      </c>
    </row>
    <row r="17" spans="1:6" x14ac:dyDescent="0.3">
      <c r="A17" s="5" t="s">
        <v>255</v>
      </c>
      <c r="B17">
        <v>630</v>
      </c>
      <c r="C17">
        <v>1100</v>
      </c>
      <c r="D17">
        <v>470</v>
      </c>
      <c r="E17">
        <v>0</v>
      </c>
      <c r="F17">
        <v>0</v>
      </c>
    </row>
    <row r="18" spans="1:6" x14ac:dyDescent="0.3">
      <c r="A18" s="5" t="s">
        <v>155</v>
      </c>
      <c r="B18">
        <v>299</v>
      </c>
      <c r="C18">
        <v>384</v>
      </c>
      <c r="D18">
        <v>85</v>
      </c>
      <c r="E18">
        <v>0</v>
      </c>
      <c r="F18">
        <v>0</v>
      </c>
    </row>
    <row r="19" spans="1:6" x14ac:dyDescent="0.3">
      <c r="A19" s="5" t="s">
        <v>194</v>
      </c>
      <c r="B19">
        <v>1220</v>
      </c>
      <c r="C19">
        <v>1555</v>
      </c>
      <c r="D19">
        <v>335</v>
      </c>
      <c r="E19">
        <v>2.9</v>
      </c>
      <c r="F19">
        <v>16</v>
      </c>
    </row>
    <row r="20" spans="1:6" x14ac:dyDescent="0.3">
      <c r="A20" s="5" t="s">
        <v>213</v>
      </c>
      <c r="B20">
        <v>345</v>
      </c>
      <c r="C20">
        <v>602</v>
      </c>
      <c r="D20">
        <v>257</v>
      </c>
      <c r="E20">
        <v>2.2999999999999998</v>
      </c>
      <c r="F20">
        <v>6</v>
      </c>
    </row>
    <row r="21" spans="1:6" x14ac:dyDescent="0.3">
      <c r="A21" s="5" t="s">
        <v>333</v>
      </c>
      <c r="B21">
        <v>20890</v>
      </c>
      <c r="C21">
        <v>32871</v>
      </c>
      <c r="D21">
        <v>11981</v>
      </c>
      <c r="E21">
        <v>5.1999999999999993</v>
      </c>
      <c r="F21">
        <v>1.2222222222222223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D1A7-047D-4DC7-ADD4-ABBD4A0C38A5}">
  <dimension ref="A1:F20"/>
  <sheetViews>
    <sheetView zoomScale="70" zoomScaleNormal="70" workbookViewId="0">
      <selection activeCell="C18" sqref="C18"/>
    </sheetView>
  </sheetViews>
  <sheetFormatPr defaultRowHeight="16.5" x14ac:dyDescent="0.3"/>
  <cols>
    <col min="1" max="1" width="96.25" customWidth="1"/>
    <col min="2" max="2" width="18.25" customWidth="1"/>
    <col min="3" max="3" width="26.625" customWidth="1"/>
    <col min="4" max="4" width="21.875" customWidth="1"/>
    <col min="5" max="5" width="26.25" customWidth="1"/>
    <col min="6" max="6" width="17.625" customWidth="1"/>
  </cols>
  <sheetData>
    <row r="1" spans="1:6" x14ac:dyDescent="0.3">
      <c r="A1" s="4" t="s">
        <v>332</v>
      </c>
      <c r="B1" t="s">
        <v>346</v>
      </c>
      <c r="C1" t="s">
        <v>334</v>
      </c>
      <c r="D1" t="s">
        <v>335</v>
      </c>
      <c r="E1" t="s">
        <v>347</v>
      </c>
      <c r="F1" t="s">
        <v>337</v>
      </c>
    </row>
    <row r="2" spans="1:6" x14ac:dyDescent="0.3">
      <c r="A2" s="5" t="s">
        <v>36</v>
      </c>
      <c r="B2">
        <v>-5</v>
      </c>
      <c r="C2">
        <v>1600</v>
      </c>
      <c r="D2">
        <v>2929</v>
      </c>
      <c r="E2">
        <v>1329</v>
      </c>
      <c r="F2">
        <v>3.8</v>
      </c>
    </row>
    <row r="3" spans="1:6" x14ac:dyDescent="0.3">
      <c r="A3" s="6" t="s">
        <v>39</v>
      </c>
      <c r="B3">
        <v>-5</v>
      </c>
      <c r="C3">
        <v>1600</v>
      </c>
      <c r="D3">
        <v>2929</v>
      </c>
      <c r="E3">
        <v>1329</v>
      </c>
      <c r="F3">
        <v>3.8</v>
      </c>
    </row>
    <row r="4" spans="1:6" x14ac:dyDescent="0.3">
      <c r="A4" s="5" t="s">
        <v>69</v>
      </c>
      <c r="B4">
        <v>-13</v>
      </c>
      <c r="C4">
        <v>38</v>
      </c>
      <c r="D4">
        <v>80</v>
      </c>
      <c r="E4">
        <v>42</v>
      </c>
      <c r="F4">
        <v>3.3</v>
      </c>
    </row>
    <row r="5" spans="1:6" x14ac:dyDescent="0.3">
      <c r="A5" s="6" t="s">
        <v>72</v>
      </c>
      <c r="B5">
        <v>-13</v>
      </c>
      <c r="C5">
        <v>38</v>
      </c>
      <c r="D5">
        <v>80</v>
      </c>
      <c r="E5">
        <v>42</v>
      </c>
      <c r="F5">
        <v>3.3</v>
      </c>
    </row>
    <row r="6" spans="1:6" x14ac:dyDescent="0.3">
      <c r="A6" s="5" t="s">
        <v>98</v>
      </c>
      <c r="B6">
        <v>-9</v>
      </c>
      <c r="C6">
        <v>185</v>
      </c>
      <c r="D6">
        <v>382</v>
      </c>
      <c r="E6">
        <v>197</v>
      </c>
      <c r="F6">
        <v>4.3</v>
      </c>
    </row>
    <row r="7" spans="1:6" x14ac:dyDescent="0.3">
      <c r="A7" s="6" t="s">
        <v>84</v>
      </c>
      <c r="B7">
        <v>-9</v>
      </c>
      <c r="C7">
        <v>185</v>
      </c>
      <c r="D7">
        <v>382</v>
      </c>
      <c r="E7">
        <v>197</v>
      </c>
      <c r="F7">
        <v>4.3</v>
      </c>
    </row>
    <row r="8" spans="1:6" x14ac:dyDescent="0.3">
      <c r="A8" s="5" t="s">
        <v>242</v>
      </c>
      <c r="B8">
        <v>-1</v>
      </c>
      <c r="C8">
        <v>330</v>
      </c>
      <c r="D8">
        <v>647</v>
      </c>
      <c r="E8">
        <v>317</v>
      </c>
      <c r="F8">
        <v>4</v>
      </c>
    </row>
    <row r="9" spans="1:6" x14ac:dyDescent="0.3">
      <c r="A9" s="6" t="s">
        <v>27</v>
      </c>
      <c r="B9">
        <v>-1</v>
      </c>
      <c r="C9">
        <v>330</v>
      </c>
      <c r="D9">
        <v>647</v>
      </c>
      <c r="E9">
        <v>317</v>
      </c>
      <c r="F9">
        <v>4</v>
      </c>
    </row>
    <row r="10" spans="1:6" x14ac:dyDescent="0.3">
      <c r="A10" s="5" t="s">
        <v>81</v>
      </c>
      <c r="B10">
        <v>-7</v>
      </c>
      <c r="C10">
        <v>2048</v>
      </c>
      <c r="D10">
        <v>4500</v>
      </c>
      <c r="E10">
        <v>2452</v>
      </c>
      <c r="F10">
        <v>4.3</v>
      </c>
    </row>
    <row r="11" spans="1:6" x14ac:dyDescent="0.3">
      <c r="A11" s="6" t="s">
        <v>84</v>
      </c>
      <c r="B11">
        <v>-7</v>
      </c>
      <c r="C11">
        <v>2048</v>
      </c>
      <c r="D11">
        <v>4500</v>
      </c>
      <c r="E11">
        <v>2452</v>
      </c>
      <c r="F11">
        <v>4.3</v>
      </c>
    </row>
    <row r="12" spans="1:6" x14ac:dyDescent="0.3">
      <c r="A12" s="5" t="s">
        <v>313</v>
      </c>
      <c r="B12">
        <v>-9</v>
      </c>
      <c r="C12">
        <v>1820</v>
      </c>
      <c r="D12">
        <v>3490</v>
      </c>
      <c r="E12">
        <v>1670</v>
      </c>
      <c r="F12">
        <v>4.3</v>
      </c>
    </row>
    <row r="13" spans="1:6" x14ac:dyDescent="0.3">
      <c r="A13" s="6" t="s">
        <v>84</v>
      </c>
      <c r="B13">
        <v>-9</v>
      </c>
      <c r="C13">
        <v>1820</v>
      </c>
      <c r="D13">
        <v>3490</v>
      </c>
      <c r="E13">
        <v>1670</v>
      </c>
      <c r="F13">
        <v>4.3</v>
      </c>
    </row>
    <row r="14" spans="1:6" x14ac:dyDescent="0.3">
      <c r="A14" s="5" t="s">
        <v>319</v>
      </c>
      <c r="B14">
        <v>-1</v>
      </c>
      <c r="C14">
        <v>1189</v>
      </c>
      <c r="D14">
        <v>2199</v>
      </c>
      <c r="E14">
        <v>1010</v>
      </c>
      <c r="F14">
        <v>3</v>
      </c>
    </row>
    <row r="15" spans="1:6" x14ac:dyDescent="0.3">
      <c r="A15" s="6" t="s">
        <v>181</v>
      </c>
      <c r="B15">
        <v>-1</v>
      </c>
      <c r="C15">
        <v>1189</v>
      </c>
      <c r="D15">
        <v>2199</v>
      </c>
      <c r="E15">
        <v>1010</v>
      </c>
      <c r="F15">
        <v>3</v>
      </c>
    </row>
    <row r="16" spans="1:6" x14ac:dyDescent="0.3">
      <c r="A16" s="5" t="s">
        <v>9</v>
      </c>
      <c r="B16">
        <v>-14</v>
      </c>
      <c r="C16">
        <v>527</v>
      </c>
      <c r="D16">
        <v>999</v>
      </c>
      <c r="E16">
        <v>472</v>
      </c>
      <c r="F16">
        <v>4.0999999999999996</v>
      </c>
    </row>
    <row r="17" spans="1:6" x14ac:dyDescent="0.3">
      <c r="A17" s="6" t="s">
        <v>12</v>
      </c>
      <c r="B17">
        <v>-14</v>
      </c>
      <c r="C17">
        <v>527</v>
      </c>
      <c r="D17">
        <v>999</v>
      </c>
      <c r="E17">
        <v>472</v>
      </c>
      <c r="F17">
        <v>4.0999999999999996</v>
      </c>
    </row>
    <row r="18" spans="1:6" x14ac:dyDescent="0.3">
      <c r="A18" s="5" t="s">
        <v>178</v>
      </c>
      <c r="B18">
        <v>-10</v>
      </c>
      <c r="C18">
        <v>458</v>
      </c>
      <c r="D18">
        <v>986</v>
      </c>
      <c r="E18">
        <v>528</v>
      </c>
      <c r="F18">
        <v>3</v>
      </c>
    </row>
    <row r="19" spans="1:6" x14ac:dyDescent="0.3">
      <c r="A19" s="6" t="s">
        <v>181</v>
      </c>
      <c r="B19">
        <v>-10</v>
      </c>
      <c r="C19">
        <v>458</v>
      </c>
      <c r="D19">
        <v>986</v>
      </c>
      <c r="E19">
        <v>528</v>
      </c>
      <c r="F19">
        <v>3</v>
      </c>
    </row>
    <row r="20" spans="1:6" x14ac:dyDescent="0.3">
      <c r="A20" s="5" t="s">
        <v>333</v>
      </c>
      <c r="B20">
        <v>-69</v>
      </c>
      <c r="C20">
        <v>8195</v>
      </c>
      <c r="D20">
        <v>16212</v>
      </c>
      <c r="E20">
        <v>890.77777777777783</v>
      </c>
      <c r="F20">
        <v>34.1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938E2-D730-4511-B680-9DD95F388123}">
  <dimension ref="A1:G55"/>
  <sheetViews>
    <sheetView workbookViewId="0">
      <selection activeCell="D37" sqref="D37"/>
    </sheetView>
  </sheetViews>
  <sheetFormatPr defaultRowHeight="16.5" x14ac:dyDescent="0.3"/>
  <cols>
    <col min="1" max="1" width="69.75" customWidth="1"/>
    <col min="2" max="2" width="20.25" customWidth="1"/>
    <col min="3" max="3" width="16.5" customWidth="1"/>
    <col min="4" max="4" width="16.25" customWidth="1"/>
    <col min="5" max="5" width="15.5" customWidth="1"/>
    <col min="6" max="6" width="16.625" customWidth="1"/>
    <col min="7" max="7" width="15.625" customWidth="1"/>
  </cols>
  <sheetData>
    <row r="1" spans="1:7" x14ac:dyDescent="0.3">
      <c r="A1" t="s">
        <v>344</v>
      </c>
    </row>
    <row r="2" spans="1:7" x14ac:dyDescent="0.3">
      <c r="A2" s="4" t="s">
        <v>332</v>
      </c>
      <c r="B2" t="s">
        <v>334</v>
      </c>
      <c r="C2" t="s">
        <v>335</v>
      </c>
      <c r="D2" t="s">
        <v>336</v>
      </c>
      <c r="E2" t="s">
        <v>342</v>
      </c>
      <c r="F2" t="s">
        <v>341</v>
      </c>
      <c r="G2" t="s">
        <v>345</v>
      </c>
    </row>
    <row r="3" spans="1:7" x14ac:dyDescent="0.3">
      <c r="A3" s="5" t="s">
        <v>121</v>
      </c>
      <c r="B3">
        <v>2750</v>
      </c>
      <c r="C3">
        <v>4471</v>
      </c>
      <c r="D3">
        <v>1721</v>
      </c>
      <c r="F3">
        <v>0</v>
      </c>
    </row>
    <row r="4" spans="1:7" x14ac:dyDescent="0.3">
      <c r="A4" s="5" t="s">
        <v>162</v>
      </c>
      <c r="B4">
        <v>898</v>
      </c>
      <c r="C4">
        <v>1796</v>
      </c>
      <c r="D4">
        <v>898</v>
      </c>
      <c r="F4">
        <v>0</v>
      </c>
    </row>
    <row r="5" spans="1:7" x14ac:dyDescent="0.3">
      <c r="A5" s="5" t="s">
        <v>250</v>
      </c>
      <c r="B5">
        <v>799</v>
      </c>
      <c r="C5">
        <v>900</v>
      </c>
      <c r="D5">
        <v>101</v>
      </c>
      <c r="F5">
        <v>0</v>
      </c>
    </row>
    <row r="6" spans="1:7" x14ac:dyDescent="0.3">
      <c r="A6" s="5" t="s">
        <v>291</v>
      </c>
      <c r="B6">
        <v>198</v>
      </c>
      <c r="C6">
        <v>260</v>
      </c>
      <c r="D6">
        <v>62</v>
      </c>
      <c r="F6">
        <v>0</v>
      </c>
    </row>
    <row r="7" spans="1:7" x14ac:dyDescent="0.3">
      <c r="A7" s="5" t="s">
        <v>165</v>
      </c>
      <c r="B7">
        <v>699</v>
      </c>
      <c r="C7">
        <v>1343</v>
      </c>
      <c r="D7">
        <v>644</v>
      </c>
      <c r="F7">
        <v>0</v>
      </c>
    </row>
    <row r="8" spans="1:7" x14ac:dyDescent="0.3">
      <c r="A8" s="5" t="s">
        <v>240</v>
      </c>
      <c r="B8">
        <v>1666</v>
      </c>
      <c r="C8">
        <v>1699</v>
      </c>
      <c r="D8">
        <v>33</v>
      </c>
      <c r="F8">
        <v>0</v>
      </c>
    </row>
    <row r="9" spans="1:7" x14ac:dyDescent="0.3">
      <c r="A9" s="5" t="s">
        <v>255</v>
      </c>
      <c r="B9">
        <v>630</v>
      </c>
      <c r="C9">
        <v>1100</v>
      </c>
      <c r="D9">
        <v>470</v>
      </c>
      <c r="F9">
        <v>0</v>
      </c>
    </row>
    <row r="10" spans="1:7" x14ac:dyDescent="0.3">
      <c r="A10" s="5" t="s">
        <v>288</v>
      </c>
      <c r="B10">
        <v>1875</v>
      </c>
      <c r="C10">
        <v>1899</v>
      </c>
      <c r="D10">
        <v>24</v>
      </c>
      <c r="F10">
        <v>0</v>
      </c>
    </row>
    <row r="11" spans="1:7" x14ac:dyDescent="0.3">
      <c r="A11" s="5" t="s">
        <v>261</v>
      </c>
      <c r="B11">
        <v>1300</v>
      </c>
      <c r="C11">
        <v>2500</v>
      </c>
      <c r="D11">
        <v>1200</v>
      </c>
      <c r="F11">
        <v>0</v>
      </c>
    </row>
    <row r="12" spans="1:7" x14ac:dyDescent="0.3">
      <c r="A12" s="5" t="s">
        <v>267</v>
      </c>
      <c r="B12">
        <v>1200</v>
      </c>
      <c r="C12">
        <v>2400</v>
      </c>
      <c r="D12">
        <v>1200</v>
      </c>
      <c r="F12">
        <v>0</v>
      </c>
    </row>
    <row r="13" spans="1:7" x14ac:dyDescent="0.3">
      <c r="A13" s="5" t="s">
        <v>253</v>
      </c>
      <c r="B13">
        <v>1468</v>
      </c>
      <c r="C13">
        <v>1699</v>
      </c>
      <c r="D13">
        <v>231</v>
      </c>
      <c r="F13">
        <v>0</v>
      </c>
    </row>
    <row r="14" spans="1:7" x14ac:dyDescent="0.3">
      <c r="A14" s="5" t="s">
        <v>143</v>
      </c>
      <c r="B14">
        <v>1200</v>
      </c>
      <c r="C14">
        <v>1950</v>
      </c>
      <c r="D14">
        <v>750</v>
      </c>
      <c r="F14">
        <v>0</v>
      </c>
    </row>
    <row r="15" spans="1:7" x14ac:dyDescent="0.3">
      <c r="A15" s="5" t="s">
        <v>227</v>
      </c>
      <c r="B15">
        <v>1732</v>
      </c>
      <c r="C15">
        <v>1799</v>
      </c>
      <c r="D15">
        <v>67</v>
      </c>
      <c r="F15">
        <v>0</v>
      </c>
    </row>
    <row r="16" spans="1:7" x14ac:dyDescent="0.3">
      <c r="A16" s="5" t="s">
        <v>222</v>
      </c>
      <c r="B16">
        <v>790</v>
      </c>
      <c r="C16">
        <v>1485</v>
      </c>
      <c r="D16">
        <v>695</v>
      </c>
      <c r="F16">
        <v>0</v>
      </c>
    </row>
    <row r="17" spans="1:6" x14ac:dyDescent="0.3">
      <c r="A17" s="5" t="s">
        <v>276</v>
      </c>
      <c r="B17">
        <v>3546</v>
      </c>
      <c r="C17">
        <v>3699</v>
      </c>
      <c r="D17">
        <v>153</v>
      </c>
      <c r="F17">
        <v>0</v>
      </c>
    </row>
    <row r="18" spans="1:6" x14ac:dyDescent="0.3">
      <c r="A18" s="5" t="s">
        <v>225</v>
      </c>
      <c r="B18">
        <v>690</v>
      </c>
      <c r="C18">
        <v>1200</v>
      </c>
      <c r="D18">
        <v>510</v>
      </c>
      <c r="F18">
        <v>0</v>
      </c>
    </row>
    <row r="19" spans="1:6" x14ac:dyDescent="0.3">
      <c r="A19" s="5" t="s">
        <v>157</v>
      </c>
      <c r="B19">
        <v>1459</v>
      </c>
      <c r="C19">
        <v>1499</v>
      </c>
      <c r="D19">
        <v>40</v>
      </c>
      <c r="F19">
        <v>0</v>
      </c>
    </row>
    <row r="20" spans="1:6" x14ac:dyDescent="0.3">
      <c r="A20" s="5" t="s">
        <v>273</v>
      </c>
      <c r="B20">
        <v>248</v>
      </c>
      <c r="C20">
        <v>486</v>
      </c>
      <c r="D20">
        <v>238</v>
      </c>
      <c r="F20">
        <v>0</v>
      </c>
    </row>
    <row r="21" spans="1:6" x14ac:dyDescent="0.3">
      <c r="A21" s="5" t="s">
        <v>155</v>
      </c>
      <c r="B21">
        <v>299</v>
      </c>
      <c r="C21">
        <v>384</v>
      </c>
      <c r="D21">
        <v>85</v>
      </c>
      <c r="F21">
        <v>0</v>
      </c>
    </row>
    <row r="22" spans="1:6" x14ac:dyDescent="0.3">
      <c r="A22" s="5" t="s">
        <v>124</v>
      </c>
      <c r="B22">
        <v>475</v>
      </c>
      <c r="C22">
        <v>931</v>
      </c>
      <c r="D22">
        <v>456</v>
      </c>
      <c r="F22">
        <v>0</v>
      </c>
    </row>
    <row r="23" spans="1:6" x14ac:dyDescent="0.3">
      <c r="A23" s="5" t="s">
        <v>132</v>
      </c>
      <c r="B23">
        <v>2132</v>
      </c>
      <c r="C23">
        <v>2169</v>
      </c>
      <c r="D23">
        <v>37</v>
      </c>
      <c r="F23">
        <v>0</v>
      </c>
    </row>
    <row r="24" spans="1:6" x14ac:dyDescent="0.3">
      <c r="A24" s="5" t="s">
        <v>311</v>
      </c>
      <c r="B24">
        <v>1860</v>
      </c>
      <c r="C24">
        <v>3220</v>
      </c>
      <c r="D24">
        <v>1360</v>
      </c>
      <c r="F24">
        <v>0</v>
      </c>
    </row>
    <row r="25" spans="1:6" x14ac:dyDescent="0.3">
      <c r="A25" s="5" t="s">
        <v>258</v>
      </c>
      <c r="B25">
        <v>850</v>
      </c>
      <c r="C25">
        <v>1700</v>
      </c>
      <c r="D25">
        <v>850</v>
      </c>
      <c r="F25">
        <v>0</v>
      </c>
    </row>
    <row r="26" spans="1:6" x14ac:dyDescent="0.3">
      <c r="A26" s="5" t="s">
        <v>237</v>
      </c>
      <c r="B26">
        <v>1460</v>
      </c>
      <c r="C26">
        <v>2290</v>
      </c>
      <c r="D26">
        <v>830</v>
      </c>
      <c r="F26">
        <v>0</v>
      </c>
    </row>
    <row r="27" spans="1:6" x14ac:dyDescent="0.3">
      <c r="A27" s="5" t="s">
        <v>135</v>
      </c>
      <c r="B27">
        <v>999</v>
      </c>
      <c r="C27">
        <v>2000</v>
      </c>
      <c r="D27">
        <v>1001</v>
      </c>
      <c r="F27">
        <v>0</v>
      </c>
    </row>
    <row r="28" spans="1:6" x14ac:dyDescent="0.3">
      <c r="A28" s="5" t="s">
        <v>303</v>
      </c>
      <c r="B28">
        <v>199</v>
      </c>
      <c r="C28">
        <v>553</v>
      </c>
      <c r="D28">
        <v>354</v>
      </c>
      <c r="F28">
        <v>0</v>
      </c>
    </row>
    <row r="29" spans="1:6" x14ac:dyDescent="0.3">
      <c r="A29" s="5" t="s">
        <v>146</v>
      </c>
      <c r="B29">
        <v>375</v>
      </c>
      <c r="C29">
        <v>849</v>
      </c>
      <c r="D29">
        <v>474</v>
      </c>
      <c r="F29">
        <v>0</v>
      </c>
    </row>
    <row r="30" spans="1:6" x14ac:dyDescent="0.3">
      <c r="A30" s="5" t="s">
        <v>266</v>
      </c>
      <c r="B30">
        <v>899</v>
      </c>
      <c r="C30">
        <v>1699</v>
      </c>
      <c r="D30">
        <v>800</v>
      </c>
      <c r="F30">
        <v>0</v>
      </c>
    </row>
    <row r="31" spans="1:6" x14ac:dyDescent="0.3">
      <c r="A31" s="5" t="s">
        <v>160</v>
      </c>
      <c r="B31">
        <v>799</v>
      </c>
      <c r="C31">
        <v>1343</v>
      </c>
      <c r="D31">
        <v>544</v>
      </c>
      <c r="F31">
        <v>0</v>
      </c>
    </row>
    <row r="32" spans="1:6" x14ac:dyDescent="0.3">
      <c r="A32" s="5" t="s">
        <v>137</v>
      </c>
      <c r="B32">
        <v>1190</v>
      </c>
      <c r="C32">
        <v>1785</v>
      </c>
      <c r="D32">
        <v>595</v>
      </c>
      <c r="F32">
        <v>0</v>
      </c>
    </row>
    <row r="33" spans="1:6" x14ac:dyDescent="0.3">
      <c r="A33" s="5" t="s">
        <v>294</v>
      </c>
      <c r="B33">
        <v>1150</v>
      </c>
      <c r="C33">
        <v>1737</v>
      </c>
      <c r="D33">
        <v>587</v>
      </c>
      <c r="F33">
        <v>0</v>
      </c>
    </row>
    <row r="34" spans="1:6" x14ac:dyDescent="0.3">
      <c r="A34" s="5" t="s">
        <v>230</v>
      </c>
      <c r="B34">
        <v>230</v>
      </c>
      <c r="C34">
        <v>450</v>
      </c>
      <c r="D34">
        <v>220</v>
      </c>
      <c r="F34">
        <v>0</v>
      </c>
    </row>
    <row r="35" spans="1:6" x14ac:dyDescent="0.3">
      <c r="A35" s="5" t="s">
        <v>127</v>
      </c>
      <c r="B35">
        <v>238</v>
      </c>
      <c r="C35">
        <v>476</v>
      </c>
      <c r="D35">
        <v>238</v>
      </c>
      <c r="F35">
        <v>0</v>
      </c>
    </row>
    <row r="36" spans="1:6" x14ac:dyDescent="0.3">
      <c r="A36" s="5" t="s">
        <v>281</v>
      </c>
      <c r="B36">
        <v>1080</v>
      </c>
      <c r="C36">
        <v>1874</v>
      </c>
      <c r="D36">
        <v>794</v>
      </c>
      <c r="F36">
        <v>0</v>
      </c>
    </row>
    <row r="37" spans="1:6" x14ac:dyDescent="0.3">
      <c r="A37" s="5" t="s">
        <v>95</v>
      </c>
      <c r="B37">
        <v>2200</v>
      </c>
      <c r="C37">
        <v>4080</v>
      </c>
      <c r="D37">
        <v>1880</v>
      </c>
      <c r="F37">
        <v>0</v>
      </c>
    </row>
    <row r="38" spans="1:6" x14ac:dyDescent="0.3">
      <c r="A38" s="5" t="s">
        <v>321</v>
      </c>
      <c r="B38">
        <v>1420</v>
      </c>
      <c r="C38">
        <v>2420</v>
      </c>
      <c r="D38">
        <v>1000</v>
      </c>
      <c r="F38">
        <v>0</v>
      </c>
    </row>
    <row r="39" spans="1:6" x14ac:dyDescent="0.3">
      <c r="A39" s="5" t="s">
        <v>245</v>
      </c>
      <c r="B39">
        <v>1466</v>
      </c>
      <c r="C39">
        <v>1699</v>
      </c>
      <c r="D39">
        <v>233</v>
      </c>
      <c r="F39">
        <v>0</v>
      </c>
    </row>
    <row r="40" spans="1:6" x14ac:dyDescent="0.3">
      <c r="A40" s="5" t="s">
        <v>167</v>
      </c>
      <c r="B40">
        <v>1456</v>
      </c>
      <c r="C40">
        <v>2855</v>
      </c>
      <c r="D40">
        <v>1399</v>
      </c>
      <c r="F40">
        <v>0</v>
      </c>
    </row>
    <row r="41" spans="1:6" x14ac:dyDescent="0.3">
      <c r="A41" s="5" t="s">
        <v>152</v>
      </c>
      <c r="B41">
        <v>1660</v>
      </c>
      <c r="C41">
        <v>1699</v>
      </c>
      <c r="D41">
        <v>39</v>
      </c>
      <c r="F41">
        <v>0</v>
      </c>
    </row>
    <row r="42" spans="1:6" x14ac:dyDescent="0.3">
      <c r="A42" s="5" t="s">
        <v>278</v>
      </c>
      <c r="B42">
        <v>525</v>
      </c>
      <c r="C42">
        <v>1029</v>
      </c>
      <c r="D42">
        <v>504</v>
      </c>
      <c r="F42">
        <v>0</v>
      </c>
    </row>
    <row r="43" spans="1:6" x14ac:dyDescent="0.3">
      <c r="A43" s="5" t="s">
        <v>271</v>
      </c>
      <c r="B43">
        <v>1462</v>
      </c>
      <c r="C43">
        <v>1499</v>
      </c>
      <c r="D43">
        <v>37</v>
      </c>
      <c r="F43">
        <v>0</v>
      </c>
    </row>
    <row r="44" spans="1:6" x14ac:dyDescent="0.3">
      <c r="A44" s="5" t="s">
        <v>316</v>
      </c>
      <c r="B44">
        <v>610</v>
      </c>
      <c r="C44">
        <v>1060</v>
      </c>
      <c r="D44">
        <v>450</v>
      </c>
      <c r="F44">
        <v>0</v>
      </c>
    </row>
    <row r="45" spans="1:6" x14ac:dyDescent="0.3">
      <c r="A45" s="5" t="s">
        <v>263</v>
      </c>
      <c r="B45">
        <v>105</v>
      </c>
      <c r="C45">
        <v>200</v>
      </c>
      <c r="D45">
        <v>95</v>
      </c>
      <c r="F45">
        <v>0</v>
      </c>
    </row>
    <row r="46" spans="1:6" x14ac:dyDescent="0.3">
      <c r="A46" s="5" t="s">
        <v>307</v>
      </c>
      <c r="B46">
        <v>169</v>
      </c>
      <c r="C46">
        <v>320</v>
      </c>
      <c r="D46">
        <v>151</v>
      </c>
      <c r="F46">
        <v>0</v>
      </c>
    </row>
    <row r="47" spans="1:6" x14ac:dyDescent="0.3">
      <c r="A47" s="5" t="s">
        <v>299</v>
      </c>
      <c r="B47">
        <v>1658</v>
      </c>
      <c r="C47">
        <v>1699</v>
      </c>
      <c r="D47">
        <v>41</v>
      </c>
      <c r="F47">
        <v>0</v>
      </c>
    </row>
    <row r="48" spans="1:6" x14ac:dyDescent="0.3">
      <c r="A48" s="5" t="s">
        <v>149</v>
      </c>
      <c r="B48">
        <v>299</v>
      </c>
      <c r="C48">
        <v>600</v>
      </c>
      <c r="D48">
        <v>301</v>
      </c>
      <c r="F48">
        <v>0</v>
      </c>
    </row>
    <row r="49" spans="1:6" x14ac:dyDescent="0.3">
      <c r="A49" s="5" t="s">
        <v>301</v>
      </c>
      <c r="B49">
        <v>1768</v>
      </c>
      <c r="C49">
        <v>1799</v>
      </c>
      <c r="D49">
        <v>31</v>
      </c>
      <c r="F49">
        <v>0</v>
      </c>
    </row>
    <row r="50" spans="1:6" x14ac:dyDescent="0.3">
      <c r="A50" s="5" t="s">
        <v>140</v>
      </c>
      <c r="B50">
        <v>671</v>
      </c>
      <c r="C50">
        <v>1316</v>
      </c>
      <c r="D50">
        <v>645</v>
      </c>
      <c r="F50">
        <v>0</v>
      </c>
    </row>
    <row r="51" spans="1:6" x14ac:dyDescent="0.3">
      <c r="A51" s="5" t="s">
        <v>269</v>
      </c>
      <c r="B51">
        <v>1526</v>
      </c>
      <c r="C51">
        <v>1660</v>
      </c>
      <c r="D51">
        <v>134</v>
      </c>
      <c r="F51">
        <v>0</v>
      </c>
    </row>
    <row r="52" spans="1:6" x14ac:dyDescent="0.3">
      <c r="A52" s="5" t="s">
        <v>247</v>
      </c>
      <c r="B52">
        <v>274</v>
      </c>
      <c r="C52">
        <v>537</v>
      </c>
      <c r="D52">
        <v>263</v>
      </c>
      <c r="F52">
        <v>0</v>
      </c>
    </row>
    <row r="53" spans="1:6" x14ac:dyDescent="0.3">
      <c r="A53" s="5" t="s">
        <v>169</v>
      </c>
      <c r="B53">
        <v>2799</v>
      </c>
      <c r="C53">
        <v>3810</v>
      </c>
      <c r="D53">
        <v>1011</v>
      </c>
      <c r="F53">
        <v>0</v>
      </c>
    </row>
    <row r="54" spans="1:6" x14ac:dyDescent="0.3">
      <c r="A54" s="5" t="s">
        <v>297</v>
      </c>
      <c r="B54">
        <v>1190</v>
      </c>
      <c r="C54">
        <v>1810</v>
      </c>
      <c r="D54">
        <v>620</v>
      </c>
      <c r="F54">
        <v>0</v>
      </c>
    </row>
    <row r="55" spans="1:6" x14ac:dyDescent="0.3">
      <c r="A55" s="5" t="s">
        <v>333</v>
      </c>
      <c r="B55">
        <v>58641</v>
      </c>
      <c r="C55">
        <v>85737</v>
      </c>
      <c r="D55">
        <v>27096</v>
      </c>
      <c r="F5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6AD9-BA5D-4A2D-BB6B-28920BD0326D}">
  <dimension ref="A1:G15"/>
  <sheetViews>
    <sheetView topLeftCell="A17" zoomScale="70" zoomScaleNormal="70" workbookViewId="0">
      <selection activeCell="A33" sqref="A33:XFD87"/>
    </sheetView>
  </sheetViews>
  <sheetFormatPr defaultRowHeight="16.5" x14ac:dyDescent="0.3"/>
  <cols>
    <col min="1" max="1" width="82.375" customWidth="1"/>
    <col min="2" max="2" width="26.625" customWidth="1"/>
    <col min="3" max="3" width="21.875" customWidth="1"/>
    <col min="4" max="4" width="21.625" customWidth="1"/>
    <col min="5" max="5" width="20.625" customWidth="1"/>
    <col min="6" max="6" width="22.375" customWidth="1"/>
    <col min="7" max="7" width="20" customWidth="1"/>
  </cols>
  <sheetData>
    <row r="1" spans="1:7" x14ac:dyDescent="0.3">
      <c r="A1" t="s">
        <v>343</v>
      </c>
    </row>
    <row r="2" spans="1:7" x14ac:dyDescent="0.3">
      <c r="A2" s="4" t="s">
        <v>332</v>
      </c>
      <c r="B2" t="s">
        <v>334</v>
      </c>
      <c r="C2" t="s">
        <v>335</v>
      </c>
      <c r="D2" t="s">
        <v>336</v>
      </c>
      <c r="E2" t="s">
        <v>342</v>
      </c>
      <c r="F2" t="s">
        <v>341</v>
      </c>
      <c r="G2" t="s">
        <v>345</v>
      </c>
    </row>
    <row r="3" spans="1:7" x14ac:dyDescent="0.3">
      <c r="A3" s="5" t="s">
        <v>207</v>
      </c>
      <c r="B3">
        <v>382</v>
      </c>
      <c r="C3">
        <v>700</v>
      </c>
      <c r="D3">
        <v>318</v>
      </c>
      <c r="E3">
        <v>1</v>
      </c>
      <c r="F3">
        <v>2.6</v>
      </c>
      <c r="G3">
        <v>1</v>
      </c>
    </row>
    <row r="4" spans="1:7" x14ac:dyDescent="0.3">
      <c r="A4" s="6" t="s">
        <v>339</v>
      </c>
      <c r="B4">
        <v>382</v>
      </c>
      <c r="C4">
        <v>700</v>
      </c>
      <c r="D4">
        <v>318</v>
      </c>
      <c r="E4">
        <v>1</v>
      </c>
      <c r="F4">
        <v>2.6</v>
      </c>
      <c r="G4">
        <v>1</v>
      </c>
    </row>
    <row r="5" spans="1:7" x14ac:dyDescent="0.3">
      <c r="A5" s="5" t="s">
        <v>190</v>
      </c>
      <c r="B5">
        <v>325</v>
      </c>
      <c r="C5">
        <v>680</v>
      </c>
      <c r="D5">
        <v>355</v>
      </c>
      <c r="E5">
        <v>1</v>
      </c>
      <c r="F5">
        <v>2.7</v>
      </c>
      <c r="G5">
        <v>1</v>
      </c>
    </row>
    <row r="6" spans="1:7" x14ac:dyDescent="0.3">
      <c r="A6" s="6" t="s">
        <v>339</v>
      </c>
      <c r="B6">
        <v>325</v>
      </c>
      <c r="C6">
        <v>680</v>
      </c>
      <c r="D6">
        <v>355</v>
      </c>
      <c r="E6">
        <v>1</v>
      </c>
      <c r="F6">
        <v>2.7</v>
      </c>
      <c r="G6">
        <v>1</v>
      </c>
    </row>
    <row r="7" spans="1:7" x14ac:dyDescent="0.3">
      <c r="A7" s="5" t="s">
        <v>198</v>
      </c>
      <c r="B7">
        <v>990</v>
      </c>
      <c r="C7">
        <v>1814</v>
      </c>
      <c r="D7">
        <v>824</v>
      </c>
      <c r="E7">
        <v>1</v>
      </c>
      <c r="F7">
        <v>2.2000000000000002</v>
      </c>
      <c r="G7">
        <v>1</v>
      </c>
    </row>
    <row r="8" spans="1:7" x14ac:dyDescent="0.3">
      <c r="A8" s="6" t="s">
        <v>339</v>
      </c>
      <c r="B8">
        <v>990</v>
      </c>
      <c r="C8">
        <v>1814</v>
      </c>
      <c r="D8">
        <v>824</v>
      </c>
      <c r="E8">
        <v>1</v>
      </c>
      <c r="F8">
        <v>2.2000000000000002</v>
      </c>
      <c r="G8">
        <v>1</v>
      </c>
    </row>
    <row r="9" spans="1:7" x14ac:dyDescent="0.3">
      <c r="A9" s="5" t="s">
        <v>201</v>
      </c>
      <c r="B9">
        <v>1000</v>
      </c>
      <c r="C9">
        <v>2000</v>
      </c>
      <c r="D9">
        <v>1000</v>
      </c>
      <c r="E9">
        <v>1</v>
      </c>
      <c r="F9">
        <v>2.2999999999999998</v>
      </c>
      <c r="G9">
        <v>1</v>
      </c>
    </row>
    <row r="10" spans="1:7" x14ac:dyDescent="0.3">
      <c r="A10" s="6" t="s">
        <v>339</v>
      </c>
      <c r="B10">
        <v>1000</v>
      </c>
      <c r="C10">
        <v>2000</v>
      </c>
      <c r="D10">
        <v>1000</v>
      </c>
      <c r="E10">
        <v>1</v>
      </c>
      <c r="F10">
        <v>2.2999999999999998</v>
      </c>
      <c r="G10">
        <v>1</v>
      </c>
    </row>
    <row r="11" spans="1:7" x14ac:dyDescent="0.3">
      <c r="A11" s="5" t="s">
        <v>186</v>
      </c>
      <c r="B11">
        <v>445</v>
      </c>
      <c r="C11">
        <v>873</v>
      </c>
      <c r="D11">
        <v>428</v>
      </c>
      <c r="E11">
        <v>1</v>
      </c>
      <c r="F11">
        <v>2.8</v>
      </c>
      <c r="G11">
        <v>1</v>
      </c>
    </row>
    <row r="12" spans="1:7" x14ac:dyDescent="0.3">
      <c r="A12" s="6" t="s">
        <v>339</v>
      </c>
      <c r="B12">
        <v>445</v>
      </c>
      <c r="C12">
        <v>873</v>
      </c>
      <c r="D12">
        <v>428</v>
      </c>
      <c r="E12">
        <v>1</v>
      </c>
      <c r="F12">
        <v>2.8</v>
      </c>
      <c r="G12">
        <v>1</v>
      </c>
    </row>
    <row r="13" spans="1:7" x14ac:dyDescent="0.3">
      <c r="A13" s="5" t="s">
        <v>317</v>
      </c>
      <c r="B13">
        <v>968</v>
      </c>
      <c r="C13">
        <v>1814</v>
      </c>
      <c r="D13">
        <v>846</v>
      </c>
      <c r="E13">
        <v>1</v>
      </c>
      <c r="F13">
        <v>2.2000000000000002</v>
      </c>
      <c r="G13">
        <v>1</v>
      </c>
    </row>
    <row r="14" spans="1:7" x14ac:dyDescent="0.3">
      <c r="A14" s="6" t="s">
        <v>339</v>
      </c>
      <c r="B14">
        <v>968</v>
      </c>
      <c r="C14">
        <v>1814</v>
      </c>
      <c r="D14">
        <v>846</v>
      </c>
      <c r="E14">
        <v>1</v>
      </c>
      <c r="F14">
        <v>2.2000000000000002</v>
      </c>
      <c r="G14">
        <v>1</v>
      </c>
    </row>
    <row r="15" spans="1:7" x14ac:dyDescent="0.3">
      <c r="A15" s="5" t="s">
        <v>333</v>
      </c>
      <c r="B15">
        <v>4110</v>
      </c>
      <c r="C15">
        <v>7881</v>
      </c>
      <c r="D15">
        <v>3771</v>
      </c>
      <c r="E15">
        <v>6</v>
      </c>
      <c r="F15">
        <v>2.4666666666666668</v>
      </c>
      <c r="G15">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7350-44E9-4C06-BCCC-6EE4D3095D53}">
  <dimension ref="A1:N117"/>
  <sheetViews>
    <sheetView topLeftCell="A29" zoomScale="75" zoomScaleNormal="75" workbookViewId="0">
      <selection activeCell="B117" sqref="B117"/>
    </sheetView>
  </sheetViews>
  <sheetFormatPr defaultRowHeight="16.5" x14ac:dyDescent="0.3"/>
  <cols>
    <col min="1" max="1" width="10.75" customWidth="1"/>
    <col min="2" max="2" width="71.75" customWidth="1"/>
    <col min="3" max="4" width="20.5" customWidth="1"/>
    <col min="5" max="5" width="11.375" customWidth="1"/>
    <col min="6" max="6" width="11" customWidth="1"/>
    <col min="7" max="7" width="9.625" customWidth="1"/>
    <col min="8" max="8" width="17.625" customWidth="1"/>
    <col min="9" max="11" width="13.75" customWidth="1"/>
    <col min="12" max="12" width="17.5" customWidth="1"/>
    <col min="13" max="13" width="22.375" customWidth="1"/>
    <col min="14" max="14" width="16.625" customWidth="1"/>
  </cols>
  <sheetData>
    <row r="1" spans="2:14" s="7" customFormat="1" ht="18.75" x14ac:dyDescent="0.3">
      <c r="B1" s="7" t="s">
        <v>0</v>
      </c>
      <c r="C1" s="7" t="s">
        <v>1</v>
      </c>
      <c r="D1" s="7" t="s">
        <v>2</v>
      </c>
      <c r="E1" s="7" t="s">
        <v>3</v>
      </c>
      <c r="F1" s="7" t="s">
        <v>322</v>
      </c>
      <c r="G1" s="7" t="s">
        <v>4</v>
      </c>
      <c r="H1" s="7" t="s">
        <v>324</v>
      </c>
      <c r="I1" s="7" t="s">
        <v>325</v>
      </c>
      <c r="J1" s="7" t="s">
        <v>323</v>
      </c>
      <c r="K1" s="7" t="s">
        <v>326</v>
      </c>
      <c r="L1" s="7" t="s">
        <v>327</v>
      </c>
      <c r="M1" s="7" t="s">
        <v>328</v>
      </c>
      <c r="N1" s="7" t="s">
        <v>348</v>
      </c>
    </row>
    <row r="2" spans="2:14" x14ac:dyDescent="0.3">
      <c r="B2" t="s">
        <v>5</v>
      </c>
      <c r="C2" t="s">
        <v>6</v>
      </c>
      <c r="D2" t="s">
        <v>7</v>
      </c>
      <c r="E2" s="1">
        <v>0.38</v>
      </c>
      <c r="F2" t="s">
        <v>8</v>
      </c>
      <c r="G2">
        <v>-2</v>
      </c>
      <c r="H2">
        <f t="shared" ref="H2:H39" si="0">VALUE(SUBSTITUTE(SUBSTITUTE(C2, "KSh ", ""), ",", ""))</f>
        <v>950</v>
      </c>
      <c r="I2">
        <f t="shared" ref="I2:I39" si="1">VALUE(SUBSTITUTE(SUBSTITUTE(D2,"KSh ",""),",",""))</f>
        <v>1525</v>
      </c>
      <c r="J2">
        <f>I2 - H2</f>
        <v>575</v>
      </c>
      <c r="K2">
        <f>IFERROR(VALUE(LEFT(F2, FIND(" ", F2) - 1)), 0)</f>
        <v>4.5</v>
      </c>
      <c r="L2" t="str">
        <f>IF(K2 &lt; 3, "Poor", IF(K2 &lt;= 4.4, "Average", "Excellent"))</f>
        <v>Excellent</v>
      </c>
      <c r="M2" t="str">
        <f t="shared" ref="M2:M33" si="2">IF(E2 &lt; 0.2, "Low Discount",  IF( E2 &lt;=0.44, "Medium Discount", "High Discount"))</f>
        <v>Medium Discount</v>
      </c>
      <c r="N2">
        <f>ABS(G2)</f>
        <v>2</v>
      </c>
    </row>
    <row r="3" spans="2:14" x14ac:dyDescent="0.3">
      <c r="B3" t="s">
        <v>9</v>
      </c>
      <c r="C3" t="s">
        <v>10</v>
      </c>
      <c r="D3" t="s">
        <v>11</v>
      </c>
      <c r="E3" s="1">
        <v>0.47</v>
      </c>
      <c r="F3" t="s">
        <v>12</v>
      </c>
      <c r="G3">
        <v>-14</v>
      </c>
      <c r="H3">
        <f t="shared" si="0"/>
        <v>527</v>
      </c>
      <c r="I3">
        <f t="shared" si="1"/>
        <v>999</v>
      </c>
      <c r="J3">
        <f t="shared" ref="J3:J66" si="3">I3 - H3</f>
        <v>472</v>
      </c>
      <c r="K3">
        <f t="shared" ref="K3:K66" si="4">IFERROR(VALUE(LEFT(F3, FIND(" ", F3) - 1)), 0)</f>
        <v>4.0999999999999996</v>
      </c>
      <c r="L3" t="str">
        <f t="shared" ref="L3:L66" si="5">IF(K3 &lt; 3, "Poor", IF(K3 &lt;= 4.4, "Average", "Excellent"))</f>
        <v>Average</v>
      </c>
      <c r="M3" t="str">
        <f t="shared" si="2"/>
        <v>High Discount</v>
      </c>
      <c r="N3">
        <f t="shared" ref="N3:N66" si="6">ABS(G3)</f>
        <v>14</v>
      </c>
    </row>
    <row r="4" spans="2:14" x14ac:dyDescent="0.3">
      <c r="B4" t="s">
        <v>13</v>
      </c>
      <c r="C4" t="s">
        <v>14</v>
      </c>
      <c r="D4" t="s">
        <v>15</v>
      </c>
      <c r="E4" s="1">
        <v>0.25</v>
      </c>
      <c r="F4" t="s">
        <v>16</v>
      </c>
      <c r="G4">
        <v>-24</v>
      </c>
      <c r="H4">
        <f t="shared" si="0"/>
        <v>2199</v>
      </c>
      <c r="I4">
        <f t="shared" si="1"/>
        <v>2923</v>
      </c>
      <c r="J4">
        <f t="shared" si="3"/>
        <v>724</v>
      </c>
      <c r="K4">
        <f t="shared" si="4"/>
        <v>4.5999999999999996</v>
      </c>
      <c r="L4" t="str">
        <f t="shared" si="5"/>
        <v>Excellent</v>
      </c>
      <c r="M4" t="str">
        <f t="shared" si="2"/>
        <v>Medium Discount</v>
      </c>
      <c r="N4">
        <f t="shared" si="6"/>
        <v>24</v>
      </c>
    </row>
    <row r="5" spans="2:14" x14ac:dyDescent="0.3">
      <c r="B5" t="s">
        <v>17</v>
      </c>
      <c r="C5" t="s">
        <v>18</v>
      </c>
      <c r="D5" t="s">
        <v>19</v>
      </c>
      <c r="E5" s="1">
        <v>0.37</v>
      </c>
      <c r="F5" t="s">
        <v>20</v>
      </c>
      <c r="G5">
        <v>-7</v>
      </c>
      <c r="H5">
        <f t="shared" si="0"/>
        <v>1580</v>
      </c>
      <c r="I5">
        <f t="shared" si="1"/>
        <v>2499</v>
      </c>
      <c r="J5">
        <f t="shared" si="3"/>
        <v>919</v>
      </c>
      <c r="K5">
        <f t="shared" si="4"/>
        <v>4.7</v>
      </c>
      <c r="L5" t="str">
        <f t="shared" si="5"/>
        <v>Excellent</v>
      </c>
      <c r="M5" t="str">
        <f t="shared" si="2"/>
        <v>Medium Discount</v>
      </c>
      <c r="N5">
        <f t="shared" si="6"/>
        <v>7</v>
      </c>
    </row>
    <row r="6" spans="2:14" x14ac:dyDescent="0.3">
      <c r="B6" t="s">
        <v>21</v>
      </c>
      <c r="C6" t="s">
        <v>22</v>
      </c>
      <c r="D6" t="s">
        <v>23</v>
      </c>
      <c r="E6" s="1">
        <v>0.26</v>
      </c>
      <c r="F6" t="s">
        <v>24</v>
      </c>
      <c r="G6">
        <v>-5</v>
      </c>
      <c r="H6">
        <f t="shared" si="0"/>
        <v>1740</v>
      </c>
      <c r="I6">
        <f t="shared" si="1"/>
        <v>2356</v>
      </c>
      <c r="J6">
        <f t="shared" si="3"/>
        <v>616</v>
      </c>
      <c r="K6">
        <f t="shared" si="4"/>
        <v>4.8</v>
      </c>
      <c r="L6" t="str">
        <f t="shared" si="5"/>
        <v>Excellent</v>
      </c>
      <c r="M6" t="str">
        <f t="shared" si="2"/>
        <v>Medium Discount</v>
      </c>
      <c r="N6">
        <f t="shared" si="6"/>
        <v>5</v>
      </c>
    </row>
    <row r="7" spans="2:14" x14ac:dyDescent="0.3">
      <c r="B7" t="s">
        <v>310</v>
      </c>
      <c r="C7" t="s">
        <v>25</v>
      </c>
      <c r="D7" t="s">
        <v>26</v>
      </c>
      <c r="E7" s="1">
        <v>0.09</v>
      </c>
      <c r="F7" t="s">
        <v>27</v>
      </c>
      <c r="G7">
        <v>-15</v>
      </c>
      <c r="H7">
        <f t="shared" si="0"/>
        <v>2999</v>
      </c>
      <c r="I7">
        <f t="shared" si="1"/>
        <v>3290</v>
      </c>
      <c r="J7">
        <f t="shared" si="3"/>
        <v>291</v>
      </c>
      <c r="K7">
        <f t="shared" si="4"/>
        <v>4</v>
      </c>
      <c r="L7" t="str">
        <f t="shared" si="5"/>
        <v>Average</v>
      </c>
      <c r="M7" t="str">
        <f t="shared" si="2"/>
        <v>Low Discount</v>
      </c>
      <c r="N7">
        <f t="shared" si="6"/>
        <v>15</v>
      </c>
    </row>
    <row r="8" spans="2:14" x14ac:dyDescent="0.3">
      <c r="B8" t="s">
        <v>28</v>
      </c>
      <c r="C8" t="s">
        <v>29</v>
      </c>
      <c r="D8" t="s">
        <v>30</v>
      </c>
      <c r="E8" s="1">
        <v>0.24</v>
      </c>
      <c r="F8" t="s">
        <v>16</v>
      </c>
      <c r="G8">
        <v>-55</v>
      </c>
      <c r="H8">
        <f t="shared" si="0"/>
        <v>2319</v>
      </c>
      <c r="I8">
        <f t="shared" si="1"/>
        <v>3032</v>
      </c>
      <c r="J8">
        <f t="shared" si="3"/>
        <v>713</v>
      </c>
      <c r="K8">
        <f t="shared" si="4"/>
        <v>4.5999999999999996</v>
      </c>
      <c r="L8" t="str">
        <f t="shared" si="5"/>
        <v>Excellent</v>
      </c>
      <c r="M8" t="str">
        <f t="shared" si="2"/>
        <v>Medium Discount</v>
      </c>
      <c r="N8">
        <f t="shared" si="6"/>
        <v>55</v>
      </c>
    </row>
    <row r="9" spans="2:14" x14ac:dyDescent="0.3">
      <c r="B9" t="s">
        <v>31</v>
      </c>
      <c r="C9" t="s">
        <v>32</v>
      </c>
      <c r="D9" t="s">
        <v>18</v>
      </c>
      <c r="E9" s="1">
        <v>0.37</v>
      </c>
      <c r="F9" t="s">
        <v>27</v>
      </c>
      <c r="G9">
        <v>-2</v>
      </c>
      <c r="H9">
        <f t="shared" si="0"/>
        <v>988</v>
      </c>
      <c r="I9">
        <f t="shared" si="1"/>
        <v>1580</v>
      </c>
      <c r="J9">
        <f t="shared" si="3"/>
        <v>592</v>
      </c>
      <c r="K9">
        <f t="shared" si="4"/>
        <v>4</v>
      </c>
      <c r="L9" t="str">
        <f t="shared" si="5"/>
        <v>Average</v>
      </c>
      <c r="M9" t="str">
        <f t="shared" si="2"/>
        <v>Medium Discount</v>
      </c>
      <c r="N9">
        <f t="shared" si="6"/>
        <v>2</v>
      </c>
    </row>
    <row r="10" spans="2:14" x14ac:dyDescent="0.3">
      <c r="B10" t="s">
        <v>33</v>
      </c>
      <c r="C10" t="s">
        <v>34</v>
      </c>
      <c r="D10" t="s">
        <v>35</v>
      </c>
      <c r="E10" s="1">
        <v>0.55000000000000004</v>
      </c>
      <c r="F10" t="s">
        <v>24</v>
      </c>
      <c r="G10">
        <v>-5</v>
      </c>
      <c r="H10">
        <f t="shared" si="0"/>
        <v>1274</v>
      </c>
      <c r="I10">
        <f t="shared" si="1"/>
        <v>2800</v>
      </c>
      <c r="J10">
        <f t="shared" si="3"/>
        <v>1526</v>
      </c>
      <c r="K10">
        <f t="shared" si="4"/>
        <v>4.8</v>
      </c>
      <c r="L10" t="str">
        <f t="shared" si="5"/>
        <v>Excellent</v>
      </c>
      <c r="M10" t="str">
        <f t="shared" si="2"/>
        <v>High Discount</v>
      </c>
      <c r="N10">
        <f t="shared" si="6"/>
        <v>5</v>
      </c>
    </row>
    <row r="11" spans="2:14" x14ac:dyDescent="0.3">
      <c r="B11" t="s">
        <v>36</v>
      </c>
      <c r="C11" t="s">
        <v>37</v>
      </c>
      <c r="D11" t="s">
        <v>38</v>
      </c>
      <c r="E11" s="1">
        <v>0.45</v>
      </c>
      <c r="F11" t="s">
        <v>39</v>
      </c>
      <c r="G11">
        <v>-5</v>
      </c>
      <c r="H11">
        <f t="shared" si="0"/>
        <v>1600</v>
      </c>
      <c r="I11">
        <f t="shared" si="1"/>
        <v>2929</v>
      </c>
      <c r="J11">
        <f t="shared" si="3"/>
        <v>1329</v>
      </c>
      <c r="K11">
        <f t="shared" si="4"/>
        <v>3.8</v>
      </c>
      <c r="L11" t="str">
        <f t="shared" si="5"/>
        <v>Average</v>
      </c>
      <c r="M11" t="str">
        <f t="shared" si="2"/>
        <v>High Discount</v>
      </c>
      <c r="N11">
        <f t="shared" si="6"/>
        <v>5</v>
      </c>
    </row>
    <row r="12" spans="2:14" x14ac:dyDescent="0.3">
      <c r="B12" t="s">
        <v>40</v>
      </c>
      <c r="C12" t="s">
        <v>41</v>
      </c>
      <c r="D12" t="s">
        <v>11</v>
      </c>
      <c r="E12" s="1">
        <v>0.2</v>
      </c>
      <c r="F12" t="s">
        <v>12</v>
      </c>
      <c r="G12">
        <v>-12</v>
      </c>
      <c r="H12">
        <f t="shared" si="0"/>
        <v>799</v>
      </c>
      <c r="I12">
        <f t="shared" si="1"/>
        <v>999</v>
      </c>
      <c r="J12">
        <f t="shared" si="3"/>
        <v>200</v>
      </c>
      <c r="K12">
        <f t="shared" si="4"/>
        <v>4.0999999999999996</v>
      </c>
      <c r="L12" t="str">
        <f t="shared" si="5"/>
        <v>Average</v>
      </c>
      <c r="M12" t="str">
        <f t="shared" si="2"/>
        <v>Medium Discount</v>
      </c>
      <c r="N12">
        <f t="shared" si="6"/>
        <v>12</v>
      </c>
    </row>
    <row r="13" spans="2:14" x14ac:dyDescent="0.3">
      <c r="B13" t="s">
        <v>42</v>
      </c>
      <c r="C13" t="s">
        <v>43</v>
      </c>
      <c r="D13" t="s">
        <v>44</v>
      </c>
      <c r="E13" s="1">
        <v>0.34</v>
      </c>
      <c r="F13" t="s">
        <v>20</v>
      </c>
      <c r="G13">
        <v>-39</v>
      </c>
      <c r="H13">
        <f t="shared" si="0"/>
        <v>990</v>
      </c>
      <c r="I13">
        <f t="shared" si="1"/>
        <v>1500</v>
      </c>
      <c r="J13">
        <f t="shared" si="3"/>
        <v>510</v>
      </c>
      <c r="K13">
        <f t="shared" si="4"/>
        <v>4.7</v>
      </c>
      <c r="L13" t="str">
        <f t="shared" si="5"/>
        <v>Excellent</v>
      </c>
      <c r="M13" t="str">
        <f t="shared" si="2"/>
        <v>Medium Discount</v>
      </c>
      <c r="N13">
        <f t="shared" si="6"/>
        <v>39</v>
      </c>
    </row>
    <row r="14" spans="2:14" x14ac:dyDescent="0.3">
      <c r="B14" t="s">
        <v>45</v>
      </c>
      <c r="C14" t="s">
        <v>46</v>
      </c>
      <c r="D14" t="s">
        <v>47</v>
      </c>
      <c r="E14" s="1">
        <v>0.47</v>
      </c>
      <c r="F14" t="s">
        <v>24</v>
      </c>
      <c r="G14">
        <v>-12</v>
      </c>
      <c r="H14">
        <f t="shared" si="0"/>
        <v>552</v>
      </c>
      <c r="I14">
        <f t="shared" si="1"/>
        <v>1035</v>
      </c>
      <c r="J14">
        <f t="shared" si="3"/>
        <v>483</v>
      </c>
      <c r="K14">
        <f t="shared" si="4"/>
        <v>4.8</v>
      </c>
      <c r="L14" t="str">
        <f t="shared" si="5"/>
        <v>Excellent</v>
      </c>
      <c r="M14" t="str">
        <f t="shared" si="2"/>
        <v>High Discount</v>
      </c>
      <c r="N14">
        <f t="shared" si="6"/>
        <v>12</v>
      </c>
    </row>
    <row r="15" spans="2:14" x14ac:dyDescent="0.3">
      <c r="B15" t="s">
        <v>48</v>
      </c>
      <c r="C15" t="s">
        <v>49</v>
      </c>
      <c r="D15" t="s">
        <v>50</v>
      </c>
      <c r="E15" s="1">
        <v>0.42</v>
      </c>
      <c r="F15" t="s">
        <v>8</v>
      </c>
      <c r="G15">
        <v>-6</v>
      </c>
      <c r="H15">
        <f t="shared" si="0"/>
        <v>501</v>
      </c>
      <c r="I15">
        <f t="shared" si="1"/>
        <v>860</v>
      </c>
      <c r="J15">
        <f t="shared" si="3"/>
        <v>359</v>
      </c>
      <c r="K15">
        <f t="shared" si="4"/>
        <v>4.5</v>
      </c>
      <c r="L15" t="str">
        <f t="shared" si="5"/>
        <v>Excellent</v>
      </c>
      <c r="M15" t="str">
        <f t="shared" si="2"/>
        <v>Medium Discount</v>
      </c>
      <c r="N15">
        <f t="shared" si="6"/>
        <v>6</v>
      </c>
    </row>
    <row r="16" spans="2:14" x14ac:dyDescent="0.3">
      <c r="B16" t="s">
        <v>51</v>
      </c>
      <c r="C16" t="s">
        <v>52</v>
      </c>
      <c r="D16" t="s">
        <v>19</v>
      </c>
      <c r="E16" s="1">
        <v>0.33</v>
      </c>
      <c r="F16" t="s">
        <v>53</v>
      </c>
      <c r="G16">
        <v>-9</v>
      </c>
      <c r="H16">
        <f t="shared" si="0"/>
        <v>1680</v>
      </c>
      <c r="I16">
        <f t="shared" si="1"/>
        <v>2499</v>
      </c>
      <c r="J16">
        <f t="shared" si="3"/>
        <v>819</v>
      </c>
      <c r="K16">
        <f t="shared" si="4"/>
        <v>4.2</v>
      </c>
      <c r="L16" t="str">
        <f t="shared" si="5"/>
        <v>Average</v>
      </c>
      <c r="M16" t="str">
        <f t="shared" si="2"/>
        <v>Medium Discount</v>
      </c>
      <c r="N16">
        <f t="shared" si="6"/>
        <v>9</v>
      </c>
    </row>
    <row r="17" spans="2:14" x14ac:dyDescent="0.3">
      <c r="B17" t="s">
        <v>54</v>
      </c>
      <c r="C17" t="s">
        <v>55</v>
      </c>
      <c r="D17" t="s">
        <v>56</v>
      </c>
      <c r="E17" s="1">
        <v>0.51</v>
      </c>
      <c r="F17" t="s">
        <v>57</v>
      </c>
      <c r="G17">
        <v>-2</v>
      </c>
      <c r="H17">
        <f t="shared" si="0"/>
        <v>332</v>
      </c>
      <c r="I17">
        <f t="shared" si="1"/>
        <v>684</v>
      </c>
      <c r="J17">
        <f t="shared" si="3"/>
        <v>352</v>
      </c>
      <c r="K17">
        <f t="shared" si="4"/>
        <v>5</v>
      </c>
      <c r="L17" t="str">
        <f t="shared" si="5"/>
        <v>Excellent</v>
      </c>
      <c r="M17" t="str">
        <f t="shared" si="2"/>
        <v>High Discount</v>
      </c>
      <c r="N17">
        <f t="shared" si="6"/>
        <v>2</v>
      </c>
    </row>
    <row r="18" spans="2:14" x14ac:dyDescent="0.3">
      <c r="B18" t="s">
        <v>58</v>
      </c>
      <c r="C18" t="s">
        <v>59</v>
      </c>
      <c r="D18" t="s">
        <v>60</v>
      </c>
      <c r="E18" s="1">
        <v>0.46</v>
      </c>
      <c r="F18" t="s">
        <v>57</v>
      </c>
      <c r="G18">
        <v>-2</v>
      </c>
      <c r="H18">
        <f t="shared" si="0"/>
        <v>195</v>
      </c>
      <c r="I18">
        <f t="shared" si="1"/>
        <v>360</v>
      </c>
      <c r="J18">
        <f t="shared" si="3"/>
        <v>165</v>
      </c>
      <c r="K18">
        <f t="shared" si="4"/>
        <v>5</v>
      </c>
      <c r="L18" t="str">
        <f t="shared" si="5"/>
        <v>Excellent</v>
      </c>
      <c r="M18" t="str">
        <f t="shared" si="2"/>
        <v>High Discount</v>
      </c>
      <c r="N18">
        <f t="shared" si="6"/>
        <v>2</v>
      </c>
    </row>
    <row r="19" spans="2:14" x14ac:dyDescent="0.3">
      <c r="B19" t="s">
        <v>61</v>
      </c>
      <c r="C19" t="s">
        <v>62</v>
      </c>
      <c r="D19" t="s">
        <v>63</v>
      </c>
      <c r="E19" s="1">
        <v>0.49</v>
      </c>
      <c r="F19" t="s">
        <v>57</v>
      </c>
      <c r="G19">
        <v>-3</v>
      </c>
      <c r="H19">
        <f t="shared" si="0"/>
        <v>2025</v>
      </c>
      <c r="I19">
        <f t="shared" si="1"/>
        <v>3971</v>
      </c>
      <c r="J19">
        <f t="shared" si="3"/>
        <v>1946</v>
      </c>
      <c r="K19">
        <f t="shared" si="4"/>
        <v>5</v>
      </c>
      <c r="L19" t="str">
        <f t="shared" si="5"/>
        <v>Excellent</v>
      </c>
      <c r="M19" t="str">
        <f t="shared" si="2"/>
        <v>High Discount</v>
      </c>
      <c r="N19">
        <f t="shared" si="6"/>
        <v>3</v>
      </c>
    </row>
    <row r="20" spans="2:14" x14ac:dyDescent="0.3">
      <c r="B20" t="s">
        <v>64</v>
      </c>
      <c r="C20" t="s">
        <v>25</v>
      </c>
      <c r="D20" t="s">
        <v>65</v>
      </c>
      <c r="E20" s="1">
        <v>0.19</v>
      </c>
      <c r="F20" t="s">
        <v>16</v>
      </c>
      <c r="G20">
        <v>-5</v>
      </c>
      <c r="H20">
        <f t="shared" si="0"/>
        <v>2999</v>
      </c>
      <c r="I20">
        <f t="shared" si="1"/>
        <v>3699</v>
      </c>
      <c r="J20">
        <f t="shared" si="3"/>
        <v>700</v>
      </c>
      <c r="K20">
        <f t="shared" si="4"/>
        <v>4.5999999999999996</v>
      </c>
      <c r="L20" t="str">
        <f t="shared" si="5"/>
        <v>Excellent</v>
      </c>
      <c r="M20" t="str">
        <f t="shared" si="2"/>
        <v>Low Discount</v>
      </c>
      <c r="N20">
        <f t="shared" si="6"/>
        <v>5</v>
      </c>
    </row>
    <row r="21" spans="2:14" x14ac:dyDescent="0.3">
      <c r="B21" t="s">
        <v>66</v>
      </c>
      <c r="C21" t="s">
        <v>67</v>
      </c>
      <c r="D21" t="s">
        <v>68</v>
      </c>
      <c r="E21" s="1">
        <v>0.49</v>
      </c>
      <c r="F21" t="s">
        <v>16</v>
      </c>
      <c r="G21">
        <v>-44</v>
      </c>
      <c r="H21">
        <f t="shared" si="0"/>
        <v>998</v>
      </c>
      <c r="I21">
        <f t="shared" si="1"/>
        <v>1966</v>
      </c>
      <c r="J21">
        <f t="shared" si="3"/>
        <v>968</v>
      </c>
      <c r="K21">
        <f t="shared" si="4"/>
        <v>4.5999999999999996</v>
      </c>
      <c r="L21" t="str">
        <f t="shared" si="5"/>
        <v>Excellent</v>
      </c>
      <c r="M21" t="str">
        <f t="shared" si="2"/>
        <v>High Discount</v>
      </c>
      <c r="N21">
        <f t="shared" si="6"/>
        <v>44</v>
      </c>
    </row>
    <row r="22" spans="2:14" x14ac:dyDescent="0.3">
      <c r="B22" t="s">
        <v>69</v>
      </c>
      <c r="C22" t="s">
        <v>70</v>
      </c>
      <c r="D22" t="s">
        <v>71</v>
      </c>
      <c r="E22" s="1">
        <v>0.53</v>
      </c>
      <c r="F22" t="s">
        <v>72</v>
      </c>
      <c r="G22">
        <v>-13</v>
      </c>
      <c r="H22">
        <f t="shared" si="0"/>
        <v>38</v>
      </c>
      <c r="I22">
        <f t="shared" si="1"/>
        <v>80</v>
      </c>
      <c r="J22">
        <f t="shared" si="3"/>
        <v>42</v>
      </c>
      <c r="K22">
        <f t="shared" si="4"/>
        <v>3.3</v>
      </c>
      <c r="L22" t="str">
        <f t="shared" si="5"/>
        <v>Average</v>
      </c>
      <c r="M22" t="str">
        <f t="shared" si="2"/>
        <v>High Discount</v>
      </c>
      <c r="N22">
        <f t="shared" si="6"/>
        <v>13</v>
      </c>
    </row>
    <row r="23" spans="2:14" x14ac:dyDescent="0.3">
      <c r="B23" t="s">
        <v>311</v>
      </c>
      <c r="C23" t="s">
        <v>73</v>
      </c>
      <c r="D23" t="s">
        <v>74</v>
      </c>
      <c r="E23" s="1">
        <v>0.42</v>
      </c>
      <c r="H23">
        <f t="shared" si="0"/>
        <v>1860</v>
      </c>
      <c r="I23">
        <f t="shared" si="1"/>
        <v>3220</v>
      </c>
      <c r="J23">
        <f t="shared" si="3"/>
        <v>1360</v>
      </c>
      <c r="K23">
        <f t="shared" si="4"/>
        <v>0</v>
      </c>
      <c r="L23" t="str">
        <f t="shared" si="5"/>
        <v>Poor</v>
      </c>
      <c r="M23" t="str">
        <f t="shared" si="2"/>
        <v>Medium Discount</v>
      </c>
      <c r="N23">
        <f t="shared" si="6"/>
        <v>0</v>
      </c>
    </row>
    <row r="24" spans="2:14" x14ac:dyDescent="0.3">
      <c r="B24" t="s">
        <v>312</v>
      </c>
      <c r="C24" t="s">
        <v>75</v>
      </c>
      <c r="D24" t="s">
        <v>76</v>
      </c>
      <c r="E24" s="1">
        <v>0.35</v>
      </c>
      <c r="F24" t="s">
        <v>27</v>
      </c>
      <c r="G24">
        <v>-6</v>
      </c>
      <c r="H24">
        <f t="shared" si="0"/>
        <v>880</v>
      </c>
      <c r="I24">
        <f t="shared" si="1"/>
        <v>1350</v>
      </c>
      <c r="J24">
        <f t="shared" si="3"/>
        <v>470</v>
      </c>
      <c r="K24">
        <f t="shared" si="4"/>
        <v>4</v>
      </c>
      <c r="L24" t="str">
        <f t="shared" si="5"/>
        <v>Average</v>
      </c>
      <c r="M24" t="str">
        <f t="shared" si="2"/>
        <v>Medium Discount</v>
      </c>
      <c r="N24">
        <f t="shared" si="6"/>
        <v>6</v>
      </c>
    </row>
    <row r="25" spans="2:14" x14ac:dyDescent="0.3">
      <c r="B25" t="s">
        <v>77</v>
      </c>
      <c r="C25" t="s">
        <v>78</v>
      </c>
      <c r="D25" t="s">
        <v>79</v>
      </c>
      <c r="E25" s="1">
        <v>0.23</v>
      </c>
      <c r="F25" t="s">
        <v>80</v>
      </c>
      <c r="G25">
        <v>-14</v>
      </c>
      <c r="H25">
        <f t="shared" si="0"/>
        <v>1650</v>
      </c>
      <c r="I25">
        <f t="shared" si="1"/>
        <v>2150</v>
      </c>
      <c r="J25">
        <f t="shared" si="3"/>
        <v>500</v>
      </c>
      <c r="K25">
        <f t="shared" si="4"/>
        <v>4.4000000000000004</v>
      </c>
      <c r="L25" t="str">
        <f t="shared" si="5"/>
        <v>Average</v>
      </c>
      <c r="M25" t="str">
        <f t="shared" si="2"/>
        <v>Medium Discount</v>
      </c>
      <c r="N25">
        <f t="shared" si="6"/>
        <v>14</v>
      </c>
    </row>
    <row r="26" spans="2:14" x14ac:dyDescent="0.3">
      <c r="B26" t="s">
        <v>81</v>
      </c>
      <c r="C26" t="s">
        <v>82</v>
      </c>
      <c r="D26" t="s">
        <v>83</v>
      </c>
      <c r="E26" s="1">
        <v>0.54</v>
      </c>
      <c r="F26" t="s">
        <v>84</v>
      </c>
      <c r="G26">
        <v>-7</v>
      </c>
      <c r="H26">
        <f t="shared" si="0"/>
        <v>2048</v>
      </c>
      <c r="I26">
        <f t="shared" si="1"/>
        <v>4500</v>
      </c>
      <c r="J26">
        <f t="shared" si="3"/>
        <v>2452</v>
      </c>
      <c r="K26">
        <f t="shared" si="4"/>
        <v>4.3</v>
      </c>
      <c r="L26" t="str">
        <f t="shared" si="5"/>
        <v>Average</v>
      </c>
      <c r="M26" t="str">
        <f t="shared" si="2"/>
        <v>High Discount</v>
      </c>
      <c r="N26">
        <f t="shared" si="6"/>
        <v>7</v>
      </c>
    </row>
    <row r="27" spans="2:14" x14ac:dyDescent="0.3">
      <c r="B27" t="s">
        <v>85</v>
      </c>
      <c r="C27" t="s">
        <v>86</v>
      </c>
      <c r="D27" t="s">
        <v>87</v>
      </c>
      <c r="E27" s="1">
        <v>0.35</v>
      </c>
      <c r="F27" t="s">
        <v>16</v>
      </c>
      <c r="G27">
        <v>-49</v>
      </c>
      <c r="H27">
        <f t="shared" si="0"/>
        <v>420</v>
      </c>
      <c r="I27">
        <f t="shared" si="1"/>
        <v>647</v>
      </c>
      <c r="J27">
        <f t="shared" si="3"/>
        <v>227</v>
      </c>
      <c r="K27">
        <f t="shared" si="4"/>
        <v>4.5999999999999996</v>
      </c>
      <c r="L27" t="str">
        <f t="shared" si="5"/>
        <v>Excellent</v>
      </c>
      <c r="M27" t="str">
        <f t="shared" si="2"/>
        <v>Medium Discount</v>
      </c>
      <c r="N27">
        <f t="shared" si="6"/>
        <v>49</v>
      </c>
    </row>
    <row r="28" spans="2:14" x14ac:dyDescent="0.3">
      <c r="B28" t="s">
        <v>88</v>
      </c>
      <c r="C28" t="s">
        <v>89</v>
      </c>
      <c r="D28" t="s">
        <v>90</v>
      </c>
      <c r="E28" s="1">
        <v>0.18</v>
      </c>
      <c r="F28" t="s">
        <v>39</v>
      </c>
      <c r="G28">
        <v>-12</v>
      </c>
      <c r="H28">
        <f t="shared" si="0"/>
        <v>2880</v>
      </c>
      <c r="I28">
        <f t="shared" si="1"/>
        <v>3520</v>
      </c>
      <c r="J28">
        <f t="shared" si="3"/>
        <v>640</v>
      </c>
      <c r="K28">
        <f t="shared" si="4"/>
        <v>3.8</v>
      </c>
      <c r="L28" t="str">
        <f t="shared" si="5"/>
        <v>Average</v>
      </c>
      <c r="M28" t="str">
        <f t="shared" si="2"/>
        <v>Low Discount</v>
      </c>
      <c r="N28">
        <f t="shared" si="6"/>
        <v>12</v>
      </c>
    </row>
    <row r="29" spans="2:14" x14ac:dyDescent="0.3">
      <c r="B29" t="s">
        <v>91</v>
      </c>
      <c r="C29" t="s">
        <v>76</v>
      </c>
      <c r="D29" t="s">
        <v>92</v>
      </c>
      <c r="E29" s="1">
        <v>0.32</v>
      </c>
      <c r="F29" t="s">
        <v>39</v>
      </c>
      <c r="G29">
        <v>-13</v>
      </c>
      <c r="H29">
        <f t="shared" si="0"/>
        <v>1350</v>
      </c>
      <c r="I29">
        <f t="shared" si="1"/>
        <v>1990</v>
      </c>
      <c r="J29">
        <f t="shared" si="3"/>
        <v>640</v>
      </c>
      <c r="K29">
        <f t="shared" si="4"/>
        <v>3.8</v>
      </c>
      <c r="L29" t="str">
        <f t="shared" si="5"/>
        <v>Average</v>
      </c>
      <c r="M29" t="str">
        <f t="shared" si="2"/>
        <v>Medium Discount</v>
      </c>
      <c r="N29">
        <f t="shared" si="6"/>
        <v>13</v>
      </c>
    </row>
    <row r="30" spans="2:14" x14ac:dyDescent="0.3">
      <c r="B30" t="s">
        <v>93</v>
      </c>
      <c r="C30" t="s">
        <v>94</v>
      </c>
      <c r="D30" t="s">
        <v>19</v>
      </c>
      <c r="E30" s="1">
        <v>0.3</v>
      </c>
      <c r="F30" t="s">
        <v>12</v>
      </c>
      <c r="G30">
        <v>-20</v>
      </c>
      <c r="H30">
        <f t="shared" si="0"/>
        <v>1758</v>
      </c>
      <c r="I30">
        <f t="shared" si="1"/>
        <v>2499</v>
      </c>
      <c r="J30">
        <f t="shared" si="3"/>
        <v>741</v>
      </c>
      <c r="K30">
        <f t="shared" si="4"/>
        <v>4.0999999999999996</v>
      </c>
      <c r="L30" t="str">
        <f t="shared" si="5"/>
        <v>Average</v>
      </c>
      <c r="M30" t="str">
        <f t="shared" si="2"/>
        <v>Medium Discount</v>
      </c>
      <c r="N30">
        <f t="shared" si="6"/>
        <v>20</v>
      </c>
    </row>
    <row r="31" spans="2:14" x14ac:dyDescent="0.3">
      <c r="B31" t="s">
        <v>95</v>
      </c>
      <c r="C31" t="s">
        <v>96</v>
      </c>
      <c r="D31" t="s">
        <v>97</v>
      </c>
      <c r="E31" s="1">
        <v>0.46</v>
      </c>
      <c r="H31">
        <f t="shared" si="0"/>
        <v>2200</v>
      </c>
      <c r="I31">
        <f t="shared" si="1"/>
        <v>4080</v>
      </c>
      <c r="J31">
        <f t="shared" si="3"/>
        <v>1880</v>
      </c>
      <c r="K31">
        <f t="shared" si="4"/>
        <v>0</v>
      </c>
      <c r="L31" t="str">
        <f t="shared" si="5"/>
        <v>Poor</v>
      </c>
      <c r="M31" t="str">
        <f t="shared" si="2"/>
        <v>High Discount</v>
      </c>
      <c r="N31">
        <f t="shared" si="6"/>
        <v>0</v>
      </c>
    </row>
    <row r="32" spans="2:14" x14ac:dyDescent="0.3">
      <c r="B32" t="s">
        <v>98</v>
      </c>
      <c r="C32" t="s">
        <v>99</v>
      </c>
      <c r="D32" t="s">
        <v>100</v>
      </c>
      <c r="E32" s="1">
        <v>0.52</v>
      </c>
      <c r="F32" t="s">
        <v>84</v>
      </c>
      <c r="G32">
        <v>-9</v>
      </c>
      <c r="H32">
        <f t="shared" si="0"/>
        <v>185</v>
      </c>
      <c r="I32">
        <f t="shared" si="1"/>
        <v>382</v>
      </c>
      <c r="J32">
        <f t="shared" si="3"/>
        <v>197</v>
      </c>
      <c r="K32">
        <f t="shared" si="4"/>
        <v>4.3</v>
      </c>
      <c r="L32" t="str">
        <f t="shared" si="5"/>
        <v>Average</v>
      </c>
      <c r="M32" t="str">
        <f t="shared" si="2"/>
        <v>High Discount</v>
      </c>
      <c r="N32">
        <f t="shared" si="6"/>
        <v>9</v>
      </c>
    </row>
    <row r="33" spans="2:14" x14ac:dyDescent="0.3">
      <c r="B33" t="s">
        <v>101</v>
      </c>
      <c r="C33" t="s">
        <v>102</v>
      </c>
      <c r="D33" t="s">
        <v>103</v>
      </c>
      <c r="E33" s="1">
        <v>0.34</v>
      </c>
      <c r="F33" t="s">
        <v>20</v>
      </c>
      <c r="G33">
        <v>-12</v>
      </c>
      <c r="H33">
        <f t="shared" si="0"/>
        <v>980</v>
      </c>
      <c r="I33">
        <f t="shared" si="1"/>
        <v>1490</v>
      </c>
      <c r="J33">
        <f t="shared" si="3"/>
        <v>510</v>
      </c>
      <c r="K33">
        <f t="shared" si="4"/>
        <v>4.7</v>
      </c>
      <c r="L33" t="str">
        <f t="shared" si="5"/>
        <v>Excellent</v>
      </c>
      <c r="M33" t="str">
        <f t="shared" si="2"/>
        <v>Medium Discount</v>
      </c>
      <c r="N33">
        <f t="shared" si="6"/>
        <v>12</v>
      </c>
    </row>
    <row r="34" spans="2:14" x14ac:dyDescent="0.3">
      <c r="B34" t="s">
        <v>313</v>
      </c>
      <c r="C34" t="s">
        <v>104</v>
      </c>
      <c r="D34" t="s">
        <v>105</v>
      </c>
      <c r="E34" s="1">
        <v>0.48</v>
      </c>
      <c r="F34" t="s">
        <v>84</v>
      </c>
      <c r="G34">
        <v>-9</v>
      </c>
      <c r="H34">
        <f t="shared" si="0"/>
        <v>1820</v>
      </c>
      <c r="I34">
        <f t="shared" si="1"/>
        <v>3490</v>
      </c>
      <c r="J34">
        <f t="shared" si="3"/>
        <v>1670</v>
      </c>
      <c r="K34">
        <f t="shared" si="4"/>
        <v>4.3</v>
      </c>
      <c r="L34" t="str">
        <f t="shared" si="5"/>
        <v>Average</v>
      </c>
      <c r="M34" t="str">
        <f t="shared" ref="M34:M65" si="7">IF(E34 &lt; 0.2, "Low Discount",  IF( E34 &lt;=0.44, "Medium Discount", "High Discount"))</f>
        <v>High Discount</v>
      </c>
      <c r="N34">
        <f t="shared" si="6"/>
        <v>9</v>
      </c>
    </row>
    <row r="35" spans="2:14" x14ac:dyDescent="0.3">
      <c r="B35" t="s">
        <v>106</v>
      </c>
      <c r="C35" t="s">
        <v>107</v>
      </c>
      <c r="D35" t="s">
        <v>108</v>
      </c>
      <c r="E35" s="1">
        <v>0.27</v>
      </c>
      <c r="F35" t="s">
        <v>20</v>
      </c>
      <c r="G35">
        <v>-20</v>
      </c>
      <c r="H35">
        <f t="shared" si="0"/>
        <v>1940</v>
      </c>
      <c r="I35">
        <f t="shared" si="1"/>
        <v>2650</v>
      </c>
      <c r="J35">
        <f t="shared" si="3"/>
        <v>710</v>
      </c>
      <c r="K35">
        <f t="shared" si="4"/>
        <v>4.7</v>
      </c>
      <c r="L35" t="str">
        <f t="shared" si="5"/>
        <v>Excellent</v>
      </c>
      <c r="M35" t="str">
        <f t="shared" si="7"/>
        <v>Medium Discount</v>
      </c>
      <c r="N35">
        <f t="shared" si="6"/>
        <v>20</v>
      </c>
    </row>
    <row r="36" spans="2:14" x14ac:dyDescent="0.3">
      <c r="B36" t="s">
        <v>109</v>
      </c>
      <c r="C36" t="s">
        <v>110</v>
      </c>
      <c r="D36" t="s">
        <v>111</v>
      </c>
      <c r="E36" s="1">
        <v>0.27</v>
      </c>
      <c r="F36" t="s">
        <v>8</v>
      </c>
      <c r="G36">
        <v>-32</v>
      </c>
      <c r="H36">
        <f t="shared" si="0"/>
        <v>1980</v>
      </c>
      <c r="I36">
        <f t="shared" si="1"/>
        <v>2699</v>
      </c>
      <c r="J36">
        <f t="shared" si="3"/>
        <v>719</v>
      </c>
      <c r="K36">
        <f t="shared" si="4"/>
        <v>4.5</v>
      </c>
      <c r="L36" t="str">
        <f t="shared" si="5"/>
        <v>Excellent</v>
      </c>
      <c r="M36" t="str">
        <f t="shared" si="7"/>
        <v>Medium Discount</v>
      </c>
      <c r="N36">
        <f t="shared" si="6"/>
        <v>32</v>
      </c>
    </row>
    <row r="37" spans="2:14" x14ac:dyDescent="0.3">
      <c r="B37" t="s">
        <v>314</v>
      </c>
      <c r="C37" t="s">
        <v>112</v>
      </c>
      <c r="D37" t="s">
        <v>113</v>
      </c>
      <c r="E37" s="1">
        <v>0.4</v>
      </c>
      <c r="F37" t="s">
        <v>57</v>
      </c>
      <c r="G37">
        <v>-1</v>
      </c>
      <c r="H37">
        <f t="shared" si="0"/>
        <v>1620</v>
      </c>
      <c r="I37">
        <f t="shared" si="1"/>
        <v>2690</v>
      </c>
      <c r="J37">
        <f t="shared" si="3"/>
        <v>1070</v>
      </c>
      <c r="K37">
        <f t="shared" si="4"/>
        <v>5</v>
      </c>
      <c r="L37" t="str">
        <f t="shared" si="5"/>
        <v>Excellent</v>
      </c>
      <c r="M37" t="str">
        <f t="shared" si="7"/>
        <v>Medium Discount</v>
      </c>
      <c r="N37">
        <f t="shared" si="6"/>
        <v>1</v>
      </c>
    </row>
    <row r="38" spans="2:14" x14ac:dyDescent="0.3">
      <c r="B38" t="s">
        <v>114</v>
      </c>
      <c r="C38" t="s">
        <v>115</v>
      </c>
      <c r="D38" t="s">
        <v>60</v>
      </c>
      <c r="E38" s="1">
        <v>0.53</v>
      </c>
      <c r="F38" t="s">
        <v>57</v>
      </c>
      <c r="G38">
        <v>-2</v>
      </c>
      <c r="H38">
        <f t="shared" si="0"/>
        <v>171</v>
      </c>
      <c r="I38">
        <f t="shared" si="1"/>
        <v>360</v>
      </c>
      <c r="J38">
        <f t="shared" si="3"/>
        <v>189</v>
      </c>
      <c r="K38">
        <f t="shared" si="4"/>
        <v>5</v>
      </c>
      <c r="L38" t="str">
        <f t="shared" si="5"/>
        <v>Excellent</v>
      </c>
      <c r="M38" t="str">
        <f t="shared" si="7"/>
        <v>High Discount</v>
      </c>
      <c r="N38">
        <f t="shared" si="6"/>
        <v>2</v>
      </c>
    </row>
    <row r="39" spans="2:14" x14ac:dyDescent="0.3">
      <c r="B39" t="s">
        <v>116</v>
      </c>
      <c r="C39" t="s">
        <v>117</v>
      </c>
      <c r="D39" t="s">
        <v>118</v>
      </c>
      <c r="E39" s="1">
        <v>0.41</v>
      </c>
      <c r="F39" t="s">
        <v>84</v>
      </c>
      <c r="G39">
        <v>-36</v>
      </c>
      <c r="H39">
        <f t="shared" si="0"/>
        <v>389</v>
      </c>
      <c r="I39">
        <f t="shared" si="1"/>
        <v>656</v>
      </c>
      <c r="J39">
        <f t="shared" si="3"/>
        <v>267</v>
      </c>
      <c r="K39">
        <f t="shared" si="4"/>
        <v>4.3</v>
      </c>
      <c r="L39" t="str">
        <f t="shared" si="5"/>
        <v>Average</v>
      </c>
      <c r="M39" t="str">
        <f t="shared" si="7"/>
        <v>Medium Discount</v>
      </c>
      <c r="N39">
        <f t="shared" si="6"/>
        <v>36</v>
      </c>
    </row>
    <row r="40" spans="2:14" s="2" customFormat="1" x14ac:dyDescent="0.3">
      <c r="B40" s="2" t="s">
        <v>315</v>
      </c>
      <c r="C40" s="2" t="s">
        <v>119</v>
      </c>
      <c r="D40" s="2" t="s">
        <v>120</v>
      </c>
      <c r="E40" s="3">
        <v>0.38</v>
      </c>
      <c r="F40" s="2" t="s">
        <v>8</v>
      </c>
      <c r="G40" s="2">
        <v>-2</v>
      </c>
      <c r="H40" s="2">
        <v>1620</v>
      </c>
      <c r="I40" s="2">
        <v>2200</v>
      </c>
      <c r="J40">
        <f t="shared" si="3"/>
        <v>580</v>
      </c>
      <c r="K40">
        <f t="shared" si="4"/>
        <v>4.5</v>
      </c>
      <c r="L40" t="str">
        <f t="shared" si="5"/>
        <v>Excellent</v>
      </c>
      <c r="M40" t="str">
        <f t="shared" si="7"/>
        <v>Medium Discount</v>
      </c>
      <c r="N40">
        <f t="shared" si="6"/>
        <v>2</v>
      </c>
    </row>
    <row r="41" spans="2:14" x14ac:dyDescent="0.3">
      <c r="B41" t="s">
        <v>121</v>
      </c>
      <c r="C41" t="s">
        <v>122</v>
      </c>
      <c r="D41" t="s">
        <v>123</v>
      </c>
      <c r="E41" s="1">
        <v>0.38</v>
      </c>
      <c r="H41">
        <f t="shared" ref="H41:H72" si="8">VALUE(SUBSTITUTE(SUBSTITUTE(C41, "KSh ", ""), ",", ""))</f>
        <v>2750</v>
      </c>
      <c r="I41">
        <f t="shared" ref="I41:I72" si="9">VALUE(SUBSTITUTE(SUBSTITUTE(D41,"KSh ",""),",",""))</f>
        <v>4471</v>
      </c>
      <c r="J41">
        <f t="shared" si="3"/>
        <v>1721</v>
      </c>
      <c r="K41">
        <f t="shared" si="4"/>
        <v>0</v>
      </c>
      <c r="L41" t="str">
        <f t="shared" si="5"/>
        <v>Poor</v>
      </c>
      <c r="M41" t="str">
        <f t="shared" si="7"/>
        <v>Medium Discount</v>
      </c>
      <c r="N41">
        <f t="shared" si="6"/>
        <v>0</v>
      </c>
    </row>
    <row r="42" spans="2:14" x14ac:dyDescent="0.3">
      <c r="B42" t="s">
        <v>124</v>
      </c>
      <c r="C42" t="s">
        <v>125</v>
      </c>
      <c r="D42" t="s">
        <v>126</v>
      </c>
      <c r="E42" s="1">
        <v>0.49</v>
      </c>
      <c r="H42">
        <f t="shared" si="8"/>
        <v>475</v>
      </c>
      <c r="I42">
        <f t="shared" si="9"/>
        <v>931</v>
      </c>
      <c r="J42">
        <f t="shared" si="3"/>
        <v>456</v>
      </c>
      <c r="K42">
        <f t="shared" si="4"/>
        <v>0</v>
      </c>
      <c r="L42" t="str">
        <f t="shared" si="5"/>
        <v>Poor</v>
      </c>
      <c r="M42" t="str">
        <f t="shared" si="7"/>
        <v>High Discount</v>
      </c>
      <c r="N42">
        <f t="shared" si="6"/>
        <v>0</v>
      </c>
    </row>
    <row r="43" spans="2:14" x14ac:dyDescent="0.3">
      <c r="B43" t="s">
        <v>127</v>
      </c>
      <c r="C43" t="s">
        <v>128</v>
      </c>
      <c r="D43" t="s">
        <v>129</v>
      </c>
      <c r="E43" s="1">
        <v>0.5</v>
      </c>
      <c r="H43">
        <f t="shared" si="8"/>
        <v>238</v>
      </c>
      <c r="I43">
        <f t="shared" si="9"/>
        <v>476</v>
      </c>
      <c r="J43">
        <f t="shared" si="3"/>
        <v>238</v>
      </c>
      <c r="K43">
        <f t="shared" si="4"/>
        <v>0</v>
      </c>
      <c r="L43" t="str">
        <f t="shared" si="5"/>
        <v>Poor</v>
      </c>
      <c r="M43" t="str">
        <f t="shared" si="7"/>
        <v>High Discount</v>
      </c>
      <c r="N43">
        <f t="shared" si="6"/>
        <v>0</v>
      </c>
    </row>
    <row r="44" spans="2:14" x14ac:dyDescent="0.3">
      <c r="B44" t="s">
        <v>316</v>
      </c>
      <c r="C44" t="s">
        <v>130</v>
      </c>
      <c r="D44" t="s">
        <v>131</v>
      </c>
      <c r="E44" s="1">
        <v>0.42</v>
      </c>
      <c r="H44">
        <f t="shared" si="8"/>
        <v>610</v>
      </c>
      <c r="I44">
        <f t="shared" si="9"/>
        <v>1060</v>
      </c>
      <c r="J44">
        <f t="shared" si="3"/>
        <v>450</v>
      </c>
      <c r="K44">
        <f t="shared" si="4"/>
        <v>0</v>
      </c>
      <c r="L44" t="str">
        <f t="shared" si="5"/>
        <v>Poor</v>
      </c>
      <c r="M44" t="str">
        <f t="shared" si="7"/>
        <v>Medium Discount</v>
      </c>
      <c r="N44">
        <f t="shared" si="6"/>
        <v>0</v>
      </c>
    </row>
    <row r="45" spans="2:14" x14ac:dyDescent="0.3">
      <c r="B45" t="s">
        <v>132</v>
      </c>
      <c r="C45" t="s">
        <v>133</v>
      </c>
      <c r="D45" t="s">
        <v>134</v>
      </c>
      <c r="E45" s="1">
        <v>0.02</v>
      </c>
      <c r="H45">
        <f t="shared" si="8"/>
        <v>2132</v>
      </c>
      <c r="I45">
        <f t="shared" si="9"/>
        <v>2169</v>
      </c>
      <c r="J45">
        <f t="shared" si="3"/>
        <v>37</v>
      </c>
      <c r="K45">
        <f t="shared" si="4"/>
        <v>0</v>
      </c>
      <c r="L45" t="str">
        <f t="shared" si="5"/>
        <v>Poor</v>
      </c>
      <c r="M45" t="str">
        <f t="shared" si="7"/>
        <v>Low Discount</v>
      </c>
      <c r="N45">
        <f t="shared" si="6"/>
        <v>0</v>
      </c>
    </row>
    <row r="46" spans="2:14" x14ac:dyDescent="0.3">
      <c r="B46" t="s">
        <v>135</v>
      </c>
      <c r="C46" t="s">
        <v>11</v>
      </c>
      <c r="D46" t="s">
        <v>136</v>
      </c>
      <c r="E46" s="1">
        <v>0.5</v>
      </c>
      <c r="H46">
        <f t="shared" si="8"/>
        <v>999</v>
      </c>
      <c r="I46">
        <f t="shared" si="9"/>
        <v>2000</v>
      </c>
      <c r="J46">
        <f t="shared" si="3"/>
        <v>1001</v>
      </c>
      <c r="K46">
        <f t="shared" si="4"/>
        <v>0</v>
      </c>
      <c r="L46" t="str">
        <f t="shared" si="5"/>
        <v>Poor</v>
      </c>
      <c r="M46" t="str">
        <f t="shared" si="7"/>
        <v>High Discount</v>
      </c>
      <c r="N46">
        <f t="shared" si="6"/>
        <v>0</v>
      </c>
    </row>
    <row r="47" spans="2:14" x14ac:dyDescent="0.3">
      <c r="B47" t="s">
        <v>137</v>
      </c>
      <c r="C47" t="s">
        <v>138</v>
      </c>
      <c r="D47" t="s">
        <v>139</v>
      </c>
      <c r="E47" s="1">
        <v>0.33</v>
      </c>
      <c r="H47">
        <f t="shared" si="8"/>
        <v>1190</v>
      </c>
      <c r="I47">
        <f t="shared" si="9"/>
        <v>1785</v>
      </c>
      <c r="J47">
        <f t="shared" si="3"/>
        <v>595</v>
      </c>
      <c r="K47">
        <f t="shared" si="4"/>
        <v>0</v>
      </c>
      <c r="L47" t="str">
        <f t="shared" si="5"/>
        <v>Poor</v>
      </c>
      <c r="M47" t="str">
        <f t="shared" si="7"/>
        <v>Medium Discount</v>
      </c>
      <c r="N47">
        <f t="shared" si="6"/>
        <v>0</v>
      </c>
    </row>
    <row r="48" spans="2:14" x14ac:dyDescent="0.3">
      <c r="B48" t="s">
        <v>140</v>
      </c>
      <c r="C48" t="s">
        <v>141</v>
      </c>
      <c r="D48" t="s">
        <v>142</v>
      </c>
      <c r="E48" s="1">
        <v>0.49</v>
      </c>
      <c r="H48">
        <f t="shared" si="8"/>
        <v>671</v>
      </c>
      <c r="I48">
        <f t="shared" si="9"/>
        <v>1316</v>
      </c>
      <c r="J48">
        <f t="shared" si="3"/>
        <v>645</v>
      </c>
      <c r="K48">
        <f t="shared" si="4"/>
        <v>0</v>
      </c>
      <c r="L48" t="str">
        <f t="shared" si="5"/>
        <v>Poor</v>
      </c>
      <c r="M48" t="str">
        <f t="shared" si="7"/>
        <v>High Discount</v>
      </c>
      <c r="N48">
        <f t="shared" si="6"/>
        <v>0</v>
      </c>
    </row>
    <row r="49" spans="2:14" x14ac:dyDescent="0.3">
      <c r="B49" t="s">
        <v>143</v>
      </c>
      <c r="C49" t="s">
        <v>144</v>
      </c>
      <c r="D49" t="s">
        <v>145</v>
      </c>
      <c r="E49" s="1">
        <v>0.38</v>
      </c>
      <c r="H49">
        <f t="shared" si="8"/>
        <v>1200</v>
      </c>
      <c r="I49">
        <f t="shared" si="9"/>
        <v>1950</v>
      </c>
      <c r="J49">
        <f t="shared" si="3"/>
        <v>750</v>
      </c>
      <c r="K49">
        <f t="shared" si="4"/>
        <v>0</v>
      </c>
      <c r="L49" t="str">
        <f t="shared" si="5"/>
        <v>Poor</v>
      </c>
      <c r="M49" t="str">
        <f t="shared" si="7"/>
        <v>Medium Discount</v>
      </c>
      <c r="N49">
        <f t="shared" si="6"/>
        <v>0</v>
      </c>
    </row>
    <row r="50" spans="2:14" x14ac:dyDescent="0.3">
      <c r="B50" t="s">
        <v>146</v>
      </c>
      <c r="C50" t="s">
        <v>147</v>
      </c>
      <c r="D50" t="s">
        <v>148</v>
      </c>
      <c r="E50" s="1">
        <v>0.61</v>
      </c>
      <c r="H50">
        <f t="shared" si="8"/>
        <v>199</v>
      </c>
      <c r="I50">
        <f t="shared" si="9"/>
        <v>504</v>
      </c>
      <c r="J50">
        <f t="shared" si="3"/>
        <v>305</v>
      </c>
      <c r="K50">
        <f t="shared" si="4"/>
        <v>0</v>
      </c>
      <c r="L50" t="str">
        <f t="shared" si="5"/>
        <v>Poor</v>
      </c>
      <c r="M50" t="str">
        <f t="shared" si="7"/>
        <v>High Discount</v>
      </c>
      <c r="N50">
        <f t="shared" si="6"/>
        <v>0</v>
      </c>
    </row>
    <row r="51" spans="2:14" x14ac:dyDescent="0.3">
      <c r="B51" t="s">
        <v>149</v>
      </c>
      <c r="C51" t="s">
        <v>150</v>
      </c>
      <c r="D51" t="s">
        <v>151</v>
      </c>
      <c r="E51" s="1">
        <v>0.5</v>
      </c>
      <c r="H51">
        <f t="shared" si="8"/>
        <v>299</v>
      </c>
      <c r="I51">
        <f t="shared" si="9"/>
        <v>600</v>
      </c>
      <c r="J51">
        <f t="shared" si="3"/>
        <v>301</v>
      </c>
      <c r="K51">
        <f t="shared" si="4"/>
        <v>0</v>
      </c>
      <c r="L51" t="str">
        <f t="shared" si="5"/>
        <v>Poor</v>
      </c>
      <c r="M51" t="str">
        <f t="shared" si="7"/>
        <v>High Discount</v>
      </c>
      <c r="N51">
        <f t="shared" si="6"/>
        <v>0</v>
      </c>
    </row>
    <row r="52" spans="2:14" x14ac:dyDescent="0.3">
      <c r="B52" t="s">
        <v>152</v>
      </c>
      <c r="C52" t="s">
        <v>153</v>
      </c>
      <c r="D52" t="s">
        <v>154</v>
      </c>
      <c r="E52" s="1">
        <v>0.02</v>
      </c>
      <c r="H52">
        <f t="shared" si="8"/>
        <v>1660</v>
      </c>
      <c r="I52">
        <f t="shared" si="9"/>
        <v>1699</v>
      </c>
      <c r="J52">
        <f t="shared" si="3"/>
        <v>39</v>
      </c>
      <c r="K52">
        <f t="shared" si="4"/>
        <v>0</v>
      </c>
      <c r="L52" t="str">
        <f t="shared" si="5"/>
        <v>Poor</v>
      </c>
      <c r="M52" t="str">
        <f t="shared" si="7"/>
        <v>Low Discount</v>
      </c>
      <c r="N52">
        <f t="shared" si="6"/>
        <v>0</v>
      </c>
    </row>
    <row r="53" spans="2:14" x14ac:dyDescent="0.3">
      <c r="B53" t="s">
        <v>155</v>
      </c>
      <c r="C53" t="s">
        <v>150</v>
      </c>
      <c r="D53" t="s">
        <v>156</v>
      </c>
      <c r="E53" s="1">
        <v>0.22</v>
      </c>
      <c r="H53">
        <f t="shared" si="8"/>
        <v>299</v>
      </c>
      <c r="I53">
        <f t="shared" si="9"/>
        <v>384</v>
      </c>
      <c r="J53">
        <f t="shared" si="3"/>
        <v>85</v>
      </c>
      <c r="K53">
        <f t="shared" si="4"/>
        <v>0</v>
      </c>
      <c r="L53" t="str">
        <f t="shared" si="5"/>
        <v>Poor</v>
      </c>
      <c r="M53" t="str">
        <f t="shared" si="7"/>
        <v>Medium Discount</v>
      </c>
      <c r="N53">
        <f t="shared" si="6"/>
        <v>0</v>
      </c>
    </row>
    <row r="54" spans="2:14" x14ac:dyDescent="0.3">
      <c r="B54" t="s">
        <v>157</v>
      </c>
      <c r="C54" t="s">
        <v>158</v>
      </c>
      <c r="D54" t="s">
        <v>159</v>
      </c>
      <c r="E54" s="1">
        <v>0.03</v>
      </c>
      <c r="H54">
        <f t="shared" si="8"/>
        <v>1459</v>
      </c>
      <c r="I54">
        <f t="shared" si="9"/>
        <v>1499</v>
      </c>
      <c r="J54">
        <f t="shared" si="3"/>
        <v>40</v>
      </c>
      <c r="K54">
        <f t="shared" si="4"/>
        <v>0</v>
      </c>
      <c r="L54" t="str">
        <f t="shared" si="5"/>
        <v>Poor</v>
      </c>
      <c r="M54" t="str">
        <f t="shared" si="7"/>
        <v>Low Discount</v>
      </c>
      <c r="N54">
        <f t="shared" si="6"/>
        <v>0</v>
      </c>
    </row>
    <row r="55" spans="2:14" x14ac:dyDescent="0.3">
      <c r="B55" t="s">
        <v>160</v>
      </c>
      <c r="C55" t="s">
        <v>41</v>
      </c>
      <c r="D55" t="s">
        <v>161</v>
      </c>
      <c r="E55" s="1">
        <v>0.41</v>
      </c>
      <c r="H55">
        <f t="shared" si="8"/>
        <v>799</v>
      </c>
      <c r="I55">
        <f t="shared" si="9"/>
        <v>1343</v>
      </c>
      <c r="J55">
        <f t="shared" si="3"/>
        <v>544</v>
      </c>
      <c r="K55">
        <f t="shared" si="4"/>
        <v>0</v>
      </c>
      <c r="L55" t="str">
        <f t="shared" si="5"/>
        <v>Poor</v>
      </c>
      <c r="M55" t="str">
        <f t="shared" si="7"/>
        <v>Medium Discount</v>
      </c>
      <c r="N55">
        <f t="shared" si="6"/>
        <v>0</v>
      </c>
    </row>
    <row r="56" spans="2:14" x14ac:dyDescent="0.3">
      <c r="B56" t="s">
        <v>162</v>
      </c>
      <c r="C56" t="s">
        <v>163</v>
      </c>
      <c r="D56" t="s">
        <v>164</v>
      </c>
      <c r="E56" s="1">
        <v>0.45</v>
      </c>
      <c r="H56">
        <f t="shared" si="8"/>
        <v>499</v>
      </c>
      <c r="I56">
        <f t="shared" si="9"/>
        <v>900</v>
      </c>
      <c r="J56">
        <f t="shared" si="3"/>
        <v>401</v>
      </c>
      <c r="K56">
        <f t="shared" si="4"/>
        <v>0</v>
      </c>
      <c r="L56" t="str">
        <f t="shared" si="5"/>
        <v>Poor</v>
      </c>
      <c r="M56" t="str">
        <f t="shared" si="7"/>
        <v>High Discount</v>
      </c>
      <c r="N56">
        <f t="shared" si="6"/>
        <v>0</v>
      </c>
    </row>
    <row r="57" spans="2:14" x14ac:dyDescent="0.3">
      <c r="B57" t="s">
        <v>165</v>
      </c>
      <c r="C57" t="s">
        <v>166</v>
      </c>
      <c r="D57" t="s">
        <v>161</v>
      </c>
      <c r="E57" s="1">
        <v>0.48</v>
      </c>
      <c r="H57">
        <f t="shared" si="8"/>
        <v>699</v>
      </c>
      <c r="I57">
        <f t="shared" si="9"/>
        <v>1343</v>
      </c>
      <c r="J57">
        <f t="shared" si="3"/>
        <v>644</v>
      </c>
      <c r="K57">
        <f t="shared" si="4"/>
        <v>0</v>
      </c>
      <c r="L57" t="str">
        <f t="shared" si="5"/>
        <v>Poor</v>
      </c>
      <c r="M57" t="str">
        <f t="shared" si="7"/>
        <v>High Discount</v>
      </c>
      <c r="N57">
        <f t="shared" si="6"/>
        <v>0</v>
      </c>
    </row>
    <row r="58" spans="2:14" x14ac:dyDescent="0.3">
      <c r="B58" t="s">
        <v>167</v>
      </c>
      <c r="C58" t="s">
        <v>41</v>
      </c>
      <c r="D58" t="s">
        <v>168</v>
      </c>
      <c r="E58" s="1">
        <v>0.49</v>
      </c>
      <c r="H58">
        <f t="shared" si="8"/>
        <v>799</v>
      </c>
      <c r="I58">
        <f t="shared" si="9"/>
        <v>1567</v>
      </c>
      <c r="J58">
        <f t="shared" si="3"/>
        <v>768</v>
      </c>
      <c r="K58">
        <f t="shared" si="4"/>
        <v>0</v>
      </c>
      <c r="L58" t="str">
        <f t="shared" si="5"/>
        <v>Poor</v>
      </c>
      <c r="M58" t="str">
        <f t="shared" si="7"/>
        <v>High Discount</v>
      </c>
      <c r="N58">
        <f t="shared" si="6"/>
        <v>0</v>
      </c>
    </row>
    <row r="59" spans="2:14" x14ac:dyDescent="0.3">
      <c r="B59" t="s">
        <v>169</v>
      </c>
      <c r="C59" t="s">
        <v>170</v>
      </c>
      <c r="D59" t="s">
        <v>171</v>
      </c>
      <c r="E59" s="1">
        <v>0.27</v>
      </c>
      <c r="H59">
        <f t="shared" si="8"/>
        <v>2799</v>
      </c>
      <c r="I59">
        <f t="shared" si="9"/>
        <v>3810</v>
      </c>
      <c r="J59">
        <f t="shared" si="3"/>
        <v>1011</v>
      </c>
      <c r="K59">
        <f t="shared" si="4"/>
        <v>0</v>
      </c>
      <c r="L59" t="str">
        <f t="shared" si="5"/>
        <v>Poor</v>
      </c>
      <c r="M59" t="str">
        <f t="shared" si="7"/>
        <v>Medium Discount</v>
      </c>
      <c r="N59">
        <f t="shared" si="6"/>
        <v>0</v>
      </c>
    </row>
    <row r="60" spans="2:14" x14ac:dyDescent="0.3">
      <c r="B60" t="s">
        <v>162</v>
      </c>
      <c r="C60" t="s">
        <v>172</v>
      </c>
      <c r="D60" t="s">
        <v>173</v>
      </c>
      <c r="E60" s="1">
        <v>0.55000000000000004</v>
      </c>
      <c r="H60">
        <f t="shared" si="8"/>
        <v>399</v>
      </c>
      <c r="I60">
        <f t="shared" si="9"/>
        <v>896</v>
      </c>
      <c r="J60">
        <f t="shared" si="3"/>
        <v>497</v>
      </c>
      <c r="K60">
        <f t="shared" si="4"/>
        <v>0</v>
      </c>
      <c r="L60" t="str">
        <f t="shared" si="5"/>
        <v>Poor</v>
      </c>
      <c r="M60" t="str">
        <f t="shared" si="7"/>
        <v>High Discount</v>
      </c>
      <c r="N60">
        <f t="shared" si="6"/>
        <v>0</v>
      </c>
    </row>
    <row r="61" spans="2:14" x14ac:dyDescent="0.3">
      <c r="B61" t="s">
        <v>174</v>
      </c>
      <c r="C61" t="s">
        <v>175</v>
      </c>
      <c r="D61" t="s">
        <v>176</v>
      </c>
      <c r="E61" s="1">
        <v>0.13</v>
      </c>
      <c r="F61" t="s">
        <v>177</v>
      </c>
      <c r="G61">
        <v>-6</v>
      </c>
      <c r="H61">
        <f t="shared" si="8"/>
        <v>2170</v>
      </c>
      <c r="I61">
        <f t="shared" si="9"/>
        <v>2500</v>
      </c>
      <c r="J61">
        <f t="shared" si="3"/>
        <v>330</v>
      </c>
      <c r="K61">
        <f t="shared" si="4"/>
        <v>2.5</v>
      </c>
      <c r="L61" t="str">
        <f t="shared" si="5"/>
        <v>Poor</v>
      </c>
      <c r="M61" t="str">
        <f t="shared" si="7"/>
        <v>Low Discount</v>
      </c>
      <c r="N61">
        <f t="shared" si="6"/>
        <v>6</v>
      </c>
    </row>
    <row r="62" spans="2:14" x14ac:dyDescent="0.3">
      <c r="B62" t="s">
        <v>178</v>
      </c>
      <c r="C62" t="s">
        <v>179</v>
      </c>
      <c r="D62" t="s">
        <v>180</v>
      </c>
      <c r="E62" s="1">
        <v>0.54</v>
      </c>
      <c r="F62" t="s">
        <v>181</v>
      </c>
      <c r="G62">
        <v>-10</v>
      </c>
      <c r="H62">
        <f t="shared" si="8"/>
        <v>458</v>
      </c>
      <c r="I62">
        <f t="shared" si="9"/>
        <v>986</v>
      </c>
      <c r="J62">
        <f t="shared" si="3"/>
        <v>528</v>
      </c>
      <c r="K62">
        <f t="shared" si="4"/>
        <v>3</v>
      </c>
      <c r="L62" t="str">
        <f t="shared" si="5"/>
        <v>Average</v>
      </c>
      <c r="M62" t="str">
        <f t="shared" si="7"/>
        <v>High Discount</v>
      </c>
      <c r="N62">
        <f t="shared" si="6"/>
        <v>10</v>
      </c>
    </row>
    <row r="63" spans="2:14" x14ac:dyDescent="0.3">
      <c r="B63" t="s">
        <v>182</v>
      </c>
      <c r="C63" t="s">
        <v>183</v>
      </c>
      <c r="D63" t="s">
        <v>184</v>
      </c>
      <c r="E63" s="1">
        <v>0.55000000000000004</v>
      </c>
      <c r="F63" t="s">
        <v>185</v>
      </c>
      <c r="G63">
        <v>-13</v>
      </c>
      <c r="H63">
        <f t="shared" si="8"/>
        <v>2115</v>
      </c>
      <c r="I63">
        <f t="shared" si="9"/>
        <v>4700</v>
      </c>
      <c r="J63">
        <f t="shared" si="3"/>
        <v>2585</v>
      </c>
      <c r="K63">
        <f t="shared" si="4"/>
        <v>2.1</v>
      </c>
      <c r="L63" t="str">
        <f t="shared" si="5"/>
        <v>Poor</v>
      </c>
      <c r="M63" t="str">
        <f t="shared" si="7"/>
        <v>High Discount</v>
      </c>
      <c r="N63">
        <f t="shared" si="6"/>
        <v>13</v>
      </c>
    </row>
    <row r="64" spans="2:14" x14ac:dyDescent="0.3">
      <c r="B64" t="s">
        <v>186</v>
      </c>
      <c r="C64" t="s">
        <v>187</v>
      </c>
      <c r="D64" t="s">
        <v>188</v>
      </c>
      <c r="E64" s="1">
        <v>0.49</v>
      </c>
      <c r="F64" t="s">
        <v>189</v>
      </c>
      <c r="G64">
        <v>-69</v>
      </c>
      <c r="H64">
        <f t="shared" si="8"/>
        <v>445</v>
      </c>
      <c r="I64">
        <f t="shared" si="9"/>
        <v>873</v>
      </c>
      <c r="J64">
        <f t="shared" si="3"/>
        <v>428</v>
      </c>
      <c r="K64">
        <f t="shared" si="4"/>
        <v>2.8</v>
      </c>
      <c r="L64" t="str">
        <f t="shared" si="5"/>
        <v>Poor</v>
      </c>
      <c r="M64" t="str">
        <f t="shared" si="7"/>
        <v>High Discount</v>
      </c>
      <c r="N64">
        <f t="shared" si="6"/>
        <v>69</v>
      </c>
    </row>
    <row r="65" spans="2:14" x14ac:dyDescent="0.3">
      <c r="B65" t="s">
        <v>190</v>
      </c>
      <c r="C65" t="s">
        <v>191</v>
      </c>
      <c r="D65" t="s">
        <v>192</v>
      </c>
      <c r="E65" s="1">
        <v>0.52</v>
      </c>
      <c r="F65" t="s">
        <v>193</v>
      </c>
      <c r="G65">
        <v>-15</v>
      </c>
      <c r="H65">
        <f t="shared" si="8"/>
        <v>325</v>
      </c>
      <c r="I65">
        <f t="shared" si="9"/>
        <v>680</v>
      </c>
      <c r="J65">
        <f t="shared" si="3"/>
        <v>355</v>
      </c>
      <c r="K65">
        <f t="shared" si="4"/>
        <v>2.7</v>
      </c>
      <c r="L65" t="str">
        <f t="shared" si="5"/>
        <v>Poor</v>
      </c>
      <c r="M65" t="str">
        <f t="shared" si="7"/>
        <v>High Discount</v>
      </c>
      <c r="N65">
        <f t="shared" si="6"/>
        <v>15</v>
      </c>
    </row>
    <row r="66" spans="2:14" x14ac:dyDescent="0.3">
      <c r="B66" t="s">
        <v>194</v>
      </c>
      <c r="C66" t="s">
        <v>195</v>
      </c>
      <c r="D66" t="s">
        <v>196</v>
      </c>
      <c r="E66" s="1">
        <v>0.22</v>
      </c>
      <c r="F66" t="s">
        <v>197</v>
      </c>
      <c r="G66">
        <v>-16</v>
      </c>
      <c r="H66">
        <f t="shared" si="8"/>
        <v>1220</v>
      </c>
      <c r="I66">
        <f t="shared" si="9"/>
        <v>1555</v>
      </c>
      <c r="J66">
        <f t="shared" si="3"/>
        <v>335</v>
      </c>
      <c r="K66">
        <f t="shared" si="4"/>
        <v>2.9</v>
      </c>
      <c r="L66" t="str">
        <f t="shared" si="5"/>
        <v>Poor</v>
      </c>
      <c r="M66" t="str">
        <f t="shared" ref="M66:M97" si="10">IF(E66 &lt; 0.2, "Low Discount",  IF( E66 &lt;=0.44, "Medium Discount", "High Discount"))</f>
        <v>Medium Discount</v>
      </c>
      <c r="N66">
        <f t="shared" si="6"/>
        <v>16</v>
      </c>
    </row>
    <row r="67" spans="2:14" x14ac:dyDescent="0.3">
      <c r="B67" t="s">
        <v>198</v>
      </c>
      <c r="C67" t="s">
        <v>43</v>
      </c>
      <c r="D67" t="s">
        <v>199</v>
      </c>
      <c r="E67" s="1">
        <v>0.45</v>
      </c>
      <c r="F67" t="s">
        <v>200</v>
      </c>
      <c r="G67">
        <v>-6</v>
      </c>
      <c r="H67">
        <f t="shared" si="8"/>
        <v>990</v>
      </c>
      <c r="I67">
        <f t="shared" si="9"/>
        <v>1814</v>
      </c>
      <c r="J67">
        <f t="shared" ref="J67:J113" si="11">I67 - H67</f>
        <v>824</v>
      </c>
      <c r="K67">
        <f t="shared" ref="K67:K113" si="12">IFERROR(VALUE(LEFT(F67, FIND(" ", F67) - 1)), 0)</f>
        <v>2.2000000000000002</v>
      </c>
      <c r="L67" t="str">
        <f t="shared" ref="L67:L113" si="13">IF(K67 &lt; 3, "Poor", IF(K67 &lt;= 4.4, "Average", "Excellent"))</f>
        <v>Poor</v>
      </c>
      <c r="M67" t="str">
        <f t="shared" si="10"/>
        <v>High Discount</v>
      </c>
      <c r="N67">
        <f t="shared" ref="N67:N113" si="14">ABS(G67)</f>
        <v>6</v>
      </c>
    </row>
    <row r="68" spans="2:14" x14ac:dyDescent="0.3">
      <c r="B68" t="s">
        <v>201</v>
      </c>
      <c r="C68" t="s">
        <v>202</v>
      </c>
      <c r="D68" t="s">
        <v>136</v>
      </c>
      <c r="E68" s="1">
        <v>0.5</v>
      </c>
      <c r="F68" t="s">
        <v>203</v>
      </c>
      <c r="G68">
        <v>-7</v>
      </c>
      <c r="H68">
        <f t="shared" si="8"/>
        <v>1000</v>
      </c>
      <c r="I68">
        <f t="shared" si="9"/>
        <v>2000</v>
      </c>
      <c r="J68">
        <f t="shared" si="11"/>
        <v>1000</v>
      </c>
      <c r="K68">
        <f t="shared" si="12"/>
        <v>2.2999999999999998</v>
      </c>
      <c r="L68" t="str">
        <f t="shared" si="13"/>
        <v>Poor</v>
      </c>
      <c r="M68" t="str">
        <f t="shared" si="10"/>
        <v>High Discount</v>
      </c>
      <c r="N68">
        <f t="shared" si="14"/>
        <v>7</v>
      </c>
    </row>
    <row r="69" spans="2:14" x14ac:dyDescent="0.3">
      <c r="B69" t="s">
        <v>204</v>
      </c>
      <c r="C69" t="s">
        <v>205</v>
      </c>
      <c r="D69" t="s">
        <v>206</v>
      </c>
      <c r="E69" s="1">
        <v>0.39</v>
      </c>
      <c r="F69" t="s">
        <v>181</v>
      </c>
      <c r="G69">
        <v>-5</v>
      </c>
      <c r="H69">
        <f t="shared" si="8"/>
        <v>3750</v>
      </c>
      <c r="I69">
        <f t="shared" si="9"/>
        <v>6143</v>
      </c>
      <c r="J69">
        <f t="shared" si="11"/>
        <v>2393</v>
      </c>
      <c r="K69">
        <f t="shared" si="12"/>
        <v>3</v>
      </c>
      <c r="L69" t="str">
        <f t="shared" si="13"/>
        <v>Average</v>
      </c>
      <c r="M69" t="str">
        <f t="shared" si="10"/>
        <v>Medium Discount</v>
      </c>
      <c r="N69">
        <f t="shared" si="14"/>
        <v>5</v>
      </c>
    </row>
    <row r="70" spans="2:14" x14ac:dyDescent="0.3">
      <c r="B70" t="s">
        <v>207</v>
      </c>
      <c r="C70" t="s">
        <v>100</v>
      </c>
      <c r="D70" t="s">
        <v>208</v>
      </c>
      <c r="E70" s="1">
        <v>0.45</v>
      </c>
      <c r="F70" t="s">
        <v>209</v>
      </c>
      <c r="G70">
        <v>-17</v>
      </c>
      <c r="H70">
        <f t="shared" si="8"/>
        <v>382</v>
      </c>
      <c r="I70">
        <f t="shared" si="9"/>
        <v>700</v>
      </c>
      <c r="J70">
        <f t="shared" si="11"/>
        <v>318</v>
      </c>
      <c r="K70">
        <f t="shared" si="12"/>
        <v>2.6</v>
      </c>
      <c r="L70" t="str">
        <f t="shared" si="13"/>
        <v>Poor</v>
      </c>
      <c r="M70" t="str">
        <f t="shared" si="10"/>
        <v>High Discount</v>
      </c>
      <c r="N70">
        <f t="shared" si="14"/>
        <v>17</v>
      </c>
    </row>
    <row r="71" spans="2:14" x14ac:dyDescent="0.3">
      <c r="B71" t="s">
        <v>210</v>
      </c>
      <c r="C71" t="s">
        <v>211</v>
      </c>
      <c r="D71" t="s">
        <v>212</v>
      </c>
      <c r="E71" s="1">
        <v>0.28999999999999998</v>
      </c>
      <c r="F71" t="s">
        <v>181</v>
      </c>
      <c r="G71">
        <v>-5</v>
      </c>
      <c r="H71">
        <f t="shared" si="8"/>
        <v>2300</v>
      </c>
      <c r="I71">
        <f t="shared" si="9"/>
        <v>3240</v>
      </c>
      <c r="J71">
        <f t="shared" si="11"/>
        <v>940</v>
      </c>
      <c r="K71">
        <f t="shared" si="12"/>
        <v>3</v>
      </c>
      <c r="L71" t="str">
        <f t="shared" si="13"/>
        <v>Average</v>
      </c>
      <c r="M71" t="str">
        <f t="shared" si="10"/>
        <v>Medium Discount</v>
      </c>
      <c r="N71">
        <f t="shared" si="14"/>
        <v>5</v>
      </c>
    </row>
    <row r="72" spans="2:14" x14ac:dyDescent="0.3">
      <c r="B72" t="s">
        <v>213</v>
      </c>
      <c r="C72" t="s">
        <v>214</v>
      </c>
      <c r="D72" t="s">
        <v>215</v>
      </c>
      <c r="E72" s="1">
        <v>0.43</v>
      </c>
      <c r="F72" t="s">
        <v>203</v>
      </c>
      <c r="G72">
        <v>-6</v>
      </c>
      <c r="H72">
        <f t="shared" si="8"/>
        <v>345</v>
      </c>
      <c r="I72">
        <f t="shared" si="9"/>
        <v>602</v>
      </c>
      <c r="J72">
        <f t="shared" si="11"/>
        <v>257</v>
      </c>
      <c r="K72">
        <f t="shared" si="12"/>
        <v>2.2999999999999998</v>
      </c>
      <c r="L72" t="str">
        <f t="shared" si="13"/>
        <v>Poor</v>
      </c>
      <c r="M72" t="str">
        <f t="shared" si="10"/>
        <v>Medium Discount</v>
      </c>
      <c r="N72">
        <f t="shared" si="14"/>
        <v>6</v>
      </c>
    </row>
    <row r="73" spans="2:14" x14ac:dyDescent="0.3">
      <c r="B73" t="s">
        <v>216</v>
      </c>
      <c r="C73" t="s">
        <v>217</v>
      </c>
      <c r="D73" t="s">
        <v>218</v>
      </c>
      <c r="E73" s="1">
        <v>0.43</v>
      </c>
      <c r="F73" t="s">
        <v>181</v>
      </c>
      <c r="G73">
        <v>-5</v>
      </c>
      <c r="H73">
        <f t="shared" ref="H73:H104" si="15">VALUE(SUBSTITUTE(SUBSTITUTE(C73, "KSh ", ""), ",", ""))</f>
        <v>509</v>
      </c>
      <c r="I73">
        <f t="shared" ref="I73:I104" si="16">VALUE(SUBSTITUTE(SUBSTITUTE(D73,"KSh ",""),",",""))</f>
        <v>899</v>
      </c>
      <c r="J73">
        <f t="shared" si="11"/>
        <v>390</v>
      </c>
      <c r="K73">
        <f t="shared" si="12"/>
        <v>3</v>
      </c>
      <c r="L73" t="str">
        <f t="shared" si="13"/>
        <v>Average</v>
      </c>
      <c r="M73" t="str">
        <f t="shared" si="10"/>
        <v>Medium Discount</v>
      </c>
      <c r="N73">
        <f t="shared" si="14"/>
        <v>5</v>
      </c>
    </row>
    <row r="74" spans="2:14" x14ac:dyDescent="0.3">
      <c r="B74" t="s">
        <v>317</v>
      </c>
      <c r="C74" t="s">
        <v>219</v>
      </c>
      <c r="D74" t="s">
        <v>199</v>
      </c>
      <c r="E74" s="1">
        <v>0.47</v>
      </c>
      <c r="F74" t="s">
        <v>200</v>
      </c>
      <c r="G74">
        <v>-6</v>
      </c>
      <c r="H74">
        <f t="shared" si="15"/>
        <v>968</v>
      </c>
      <c r="I74">
        <f t="shared" si="16"/>
        <v>1814</v>
      </c>
      <c r="J74">
        <f t="shared" si="11"/>
        <v>846</v>
      </c>
      <c r="K74">
        <f t="shared" si="12"/>
        <v>2.2000000000000002</v>
      </c>
      <c r="L74" t="str">
        <f t="shared" si="13"/>
        <v>Poor</v>
      </c>
      <c r="M74" t="str">
        <f t="shared" si="10"/>
        <v>High Discount</v>
      </c>
      <c r="N74">
        <f t="shared" si="14"/>
        <v>6</v>
      </c>
    </row>
    <row r="75" spans="2:14" x14ac:dyDescent="0.3">
      <c r="B75" t="s">
        <v>318</v>
      </c>
      <c r="C75" t="s">
        <v>220</v>
      </c>
      <c r="D75" t="s">
        <v>221</v>
      </c>
      <c r="E75" s="1">
        <v>0.47</v>
      </c>
      <c r="F75" t="s">
        <v>185</v>
      </c>
      <c r="G75">
        <v>-7</v>
      </c>
      <c r="H75">
        <f t="shared" si="15"/>
        <v>1570</v>
      </c>
      <c r="I75">
        <f t="shared" si="16"/>
        <v>2988</v>
      </c>
      <c r="J75">
        <f t="shared" si="11"/>
        <v>1418</v>
      </c>
      <c r="K75">
        <f t="shared" si="12"/>
        <v>2.1</v>
      </c>
      <c r="L75" t="str">
        <f t="shared" si="13"/>
        <v>Poor</v>
      </c>
      <c r="M75" t="str">
        <f t="shared" si="10"/>
        <v>High Discount</v>
      </c>
      <c r="N75">
        <f t="shared" si="14"/>
        <v>7</v>
      </c>
    </row>
    <row r="76" spans="2:14" x14ac:dyDescent="0.3">
      <c r="B76" t="s">
        <v>222</v>
      </c>
      <c r="C76" t="s">
        <v>223</v>
      </c>
      <c r="D76" t="s">
        <v>224</v>
      </c>
      <c r="E76" s="1">
        <v>0.47</v>
      </c>
      <c r="H76">
        <f t="shared" si="15"/>
        <v>790</v>
      </c>
      <c r="I76">
        <f t="shared" si="16"/>
        <v>1485</v>
      </c>
      <c r="J76">
        <f t="shared" si="11"/>
        <v>695</v>
      </c>
      <c r="K76">
        <f t="shared" si="12"/>
        <v>0</v>
      </c>
      <c r="L76" t="str">
        <f t="shared" si="13"/>
        <v>Poor</v>
      </c>
      <c r="M76" t="str">
        <f t="shared" si="10"/>
        <v>High Discount</v>
      </c>
      <c r="N76">
        <f t="shared" si="14"/>
        <v>0</v>
      </c>
    </row>
    <row r="77" spans="2:14" x14ac:dyDescent="0.3">
      <c r="B77" t="s">
        <v>225</v>
      </c>
      <c r="C77" t="s">
        <v>226</v>
      </c>
      <c r="D77" t="s">
        <v>144</v>
      </c>
      <c r="E77" s="1">
        <v>0.43</v>
      </c>
      <c r="H77">
        <f t="shared" si="15"/>
        <v>690</v>
      </c>
      <c r="I77">
        <f t="shared" si="16"/>
        <v>1200</v>
      </c>
      <c r="J77">
        <f t="shared" si="11"/>
        <v>510</v>
      </c>
      <c r="K77">
        <f t="shared" si="12"/>
        <v>0</v>
      </c>
      <c r="L77" t="str">
        <f t="shared" si="13"/>
        <v>Poor</v>
      </c>
      <c r="M77" t="str">
        <f t="shared" si="10"/>
        <v>Medium Discount</v>
      </c>
      <c r="N77">
        <f t="shared" si="14"/>
        <v>0</v>
      </c>
    </row>
    <row r="78" spans="2:14" x14ac:dyDescent="0.3">
      <c r="B78" t="s">
        <v>227</v>
      </c>
      <c r="C78" t="s">
        <v>228</v>
      </c>
      <c r="D78" t="s">
        <v>229</v>
      </c>
      <c r="E78" s="1">
        <v>0.04</v>
      </c>
      <c r="H78">
        <f t="shared" si="15"/>
        <v>1732</v>
      </c>
      <c r="I78">
        <f t="shared" si="16"/>
        <v>1799</v>
      </c>
      <c r="J78">
        <f t="shared" si="11"/>
        <v>67</v>
      </c>
      <c r="K78">
        <f t="shared" si="12"/>
        <v>0</v>
      </c>
      <c r="L78" t="str">
        <f t="shared" si="13"/>
        <v>Poor</v>
      </c>
      <c r="M78" t="str">
        <f t="shared" si="10"/>
        <v>Low Discount</v>
      </c>
      <c r="N78">
        <f t="shared" si="14"/>
        <v>0</v>
      </c>
    </row>
    <row r="79" spans="2:14" x14ac:dyDescent="0.3">
      <c r="B79" t="s">
        <v>230</v>
      </c>
      <c r="C79" t="s">
        <v>231</v>
      </c>
      <c r="D79" t="s">
        <v>232</v>
      </c>
      <c r="E79" s="1">
        <v>0.49</v>
      </c>
      <c r="H79">
        <f t="shared" si="15"/>
        <v>230</v>
      </c>
      <c r="I79">
        <f t="shared" si="16"/>
        <v>450</v>
      </c>
      <c r="J79">
        <f t="shared" si="11"/>
        <v>220</v>
      </c>
      <c r="K79">
        <f t="shared" si="12"/>
        <v>0</v>
      </c>
      <c r="L79" t="str">
        <f t="shared" si="13"/>
        <v>Poor</v>
      </c>
      <c r="M79" t="str">
        <f t="shared" si="10"/>
        <v>High Discount</v>
      </c>
      <c r="N79">
        <f t="shared" si="14"/>
        <v>0</v>
      </c>
    </row>
    <row r="80" spans="2:14" x14ac:dyDescent="0.3">
      <c r="B80" t="s">
        <v>319</v>
      </c>
      <c r="C80" t="s">
        <v>233</v>
      </c>
      <c r="D80" t="s">
        <v>14</v>
      </c>
      <c r="E80" s="1">
        <v>0.46</v>
      </c>
      <c r="F80" t="s">
        <v>181</v>
      </c>
      <c r="G80">
        <v>-1</v>
      </c>
      <c r="H80">
        <f t="shared" si="15"/>
        <v>1189</v>
      </c>
      <c r="I80">
        <f t="shared" si="16"/>
        <v>2199</v>
      </c>
      <c r="J80">
        <f t="shared" si="11"/>
        <v>1010</v>
      </c>
      <c r="K80">
        <f t="shared" si="12"/>
        <v>3</v>
      </c>
      <c r="L80" t="str">
        <f t="shared" si="13"/>
        <v>Average</v>
      </c>
      <c r="M80" t="str">
        <f t="shared" si="10"/>
        <v>High Discount</v>
      </c>
      <c r="N80">
        <f t="shared" si="14"/>
        <v>1</v>
      </c>
    </row>
    <row r="81" spans="2:14" x14ac:dyDescent="0.3">
      <c r="B81" t="s">
        <v>234</v>
      </c>
      <c r="C81" t="s">
        <v>235</v>
      </c>
      <c r="D81" t="s">
        <v>236</v>
      </c>
      <c r="E81" s="1">
        <v>0.49</v>
      </c>
      <c r="F81" t="s">
        <v>57</v>
      </c>
      <c r="G81">
        <v>-1</v>
      </c>
      <c r="H81">
        <f t="shared" si="15"/>
        <v>979</v>
      </c>
      <c r="I81">
        <f t="shared" si="16"/>
        <v>1920</v>
      </c>
      <c r="J81">
        <f t="shared" si="11"/>
        <v>941</v>
      </c>
      <c r="K81">
        <f t="shared" si="12"/>
        <v>5</v>
      </c>
      <c r="L81" t="str">
        <f t="shared" si="13"/>
        <v>Excellent</v>
      </c>
      <c r="M81" t="str">
        <f t="shared" si="10"/>
        <v>High Discount</v>
      </c>
      <c r="N81">
        <f t="shared" si="14"/>
        <v>1</v>
      </c>
    </row>
    <row r="82" spans="2:14" x14ac:dyDescent="0.3">
      <c r="B82" t="s">
        <v>237</v>
      </c>
      <c r="C82" t="s">
        <v>238</v>
      </c>
      <c r="D82" t="s">
        <v>239</v>
      </c>
      <c r="E82" s="1">
        <v>0.36</v>
      </c>
      <c r="H82">
        <f t="shared" si="15"/>
        <v>1460</v>
      </c>
      <c r="I82">
        <f t="shared" si="16"/>
        <v>2290</v>
      </c>
      <c r="J82">
        <f t="shared" si="11"/>
        <v>830</v>
      </c>
      <c r="K82">
        <f t="shared" si="12"/>
        <v>0</v>
      </c>
      <c r="L82" t="str">
        <f t="shared" si="13"/>
        <v>Poor</v>
      </c>
      <c r="M82" t="str">
        <f t="shared" si="10"/>
        <v>Medium Discount</v>
      </c>
      <c r="N82">
        <f t="shared" si="14"/>
        <v>0</v>
      </c>
    </row>
    <row r="83" spans="2:14" x14ac:dyDescent="0.3">
      <c r="B83" t="s">
        <v>240</v>
      </c>
      <c r="C83" t="s">
        <v>241</v>
      </c>
      <c r="D83" t="s">
        <v>154</v>
      </c>
      <c r="E83" s="1">
        <v>0.02</v>
      </c>
      <c r="H83">
        <f t="shared" si="15"/>
        <v>1666</v>
      </c>
      <c r="I83">
        <f t="shared" si="16"/>
        <v>1699</v>
      </c>
      <c r="J83">
        <f t="shared" si="11"/>
        <v>33</v>
      </c>
      <c r="K83">
        <f t="shared" si="12"/>
        <v>0</v>
      </c>
      <c r="L83" t="str">
        <f t="shared" si="13"/>
        <v>Poor</v>
      </c>
      <c r="M83" t="str">
        <f t="shared" si="10"/>
        <v>Low Discount</v>
      </c>
      <c r="N83">
        <f t="shared" si="14"/>
        <v>0</v>
      </c>
    </row>
    <row r="84" spans="2:14" x14ac:dyDescent="0.3">
      <c r="B84" t="s">
        <v>242</v>
      </c>
      <c r="C84" t="s">
        <v>243</v>
      </c>
      <c r="D84" t="s">
        <v>87</v>
      </c>
      <c r="E84" s="1">
        <v>0.49</v>
      </c>
      <c r="F84" t="s">
        <v>27</v>
      </c>
      <c r="G84">
        <v>-1</v>
      </c>
      <c r="H84">
        <f t="shared" si="15"/>
        <v>330</v>
      </c>
      <c r="I84">
        <f t="shared" si="16"/>
        <v>647</v>
      </c>
      <c r="J84">
        <f t="shared" si="11"/>
        <v>317</v>
      </c>
      <c r="K84">
        <f t="shared" si="12"/>
        <v>4</v>
      </c>
      <c r="L84" t="str">
        <f t="shared" si="13"/>
        <v>Average</v>
      </c>
      <c r="M84" t="str">
        <f t="shared" si="10"/>
        <v>High Discount</v>
      </c>
      <c r="N84">
        <f t="shared" si="14"/>
        <v>1</v>
      </c>
    </row>
    <row r="85" spans="2:14" x14ac:dyDescent="0.3">
      <c r="B85" t="s">
        <v>146</v>
      </c>
      <c r="C85" t="s">
        <v>244</v>
      </c>
      <c r="D85" t="s">
        <v>214</v>
      </c>
      <c r="E85" s="1">
        <v>0.49</v>
      </c>
      <c r="H85">
        <f t="shared" si="15"/>
        <v>176</v>
      </c>
      <c r="I85">
        <f t="shared" si="16"/>
        <v>345</v>
      </c>
      <c r="J85">
        <f t="shared" si="11"/>
        <v>169</v>
      </c>
      <c r="K85">
        <f t="shared" si="12"/>
        <v>0</v>
      </c>
      <c r="L85" t="str">
        <f t="shared" si="13"/>
        <v>Poor</v>
      </c>
      <c r="M85" t="str">
        <f t="shared" si="10"/>
        <v>High Discount</v>
      </c>
      <c r="N85">
        <f t="shared" si="14"/>
        <v>0</v>
      </c>
    </row>
    <row r="86" spans="2:14" x14ac:dyDescent="0.3">
      <c r="B86" t="s">
        <v>245</v>
      </c>
      <c r="C86" t="s">
        <v>246</v>
      </c>
      <c r="D86" t="s">
        <v>154</v>
      </c>
      <c r="E86" s="1">
        <v>0.14000000000000001</v>
      </c>
      <c r="H86">
        <f t="shared" si="15"/>
        <v>1466</v>
      </c>
      <c r="I86">
        <f t="shared" si="16"/>
        <v>1699</v>
      </c>
      <c r="J86">
        <f t="shared" si="11"/>
        <v>233</v>
      </c>
      <c r="K86">
        <f t="shared" si="12"/>
        <v>0</v>
      </c>
      <c r="L86" t="str">
        <f t="shared" si="13"/>
        <v>Poor</v>
      </c>
      <c r="M86" t="str">
        <f t="shared" si="10"/>
        <v>Low Discount</v>
      </c>
      <c r="N86">
        <f t="shared" si="14"/>
        <v>0</v>
      </c>
    </row>
    <row r="87" spans="2:14" x14ac:dyDescent="0.3">
      <c r="B87" t="s">
        <v>247</v>
      </c>
      <c r="C87" t="s">
        <v>248</v>
      </c>
      <c r="D87" t="s">
        <v>249</v>
      </c>
      <c r="E87" s="1">
        <v>0.49</v>
      </c>
      <c r="H87">
        <f t="shared" si="15"/>
        <v>274</v>
      </c>
      <c r="I87">
        <f t="shared" si="16"/>
        <v>537</v>
      </c>
      <c r="J87">
        <f t="shared" si="11"/>
        <v>263</v>
      </c>
      <c r="K87">
        <f t="shared" si="12"/>
        <v>0</v>
      </c>
      <c r="L87" t="str">
        <f t="shared" si="13"/>
        <v>Poor</v>
      </c>
      <c r="M87" t="str">
        <f t="shared" si="10"/>
        <v>High Discount</v>
      </c>
      <c r="N87">
        <f t="shared" si="14"/>
        <v>0</v>
      </c>
    </row>
    <row r="88" spans="2:14" x14ac:dyDescent="0.3">
      <c r="B88" t="s">
        <v>250</v>
      </c>
      <c r="C88" t="s">
        <v>41</v>
      </c>
      <c r="D88" t="s">
        <v>164</v>
      </c>
      <c r="E88" s="1">
        <v>0.11</v>
      </c>
      <c r="H88">
        <f t="shared" si="15"/>
        <v>799</v>
      </c>
      <c r="I88">
        <f t="shared" si="16"/>
        <v>900</v>
      </c>
      <c r="J88">
        <f t="shared" si="11"/>
        <v>101</v>
      </c>
      <c r="K88">
        <f t="shared" si="12"/>
        <v>0</v>
      </c>
      <c r="L88" t="str">
        <f t="shared" si="13"/>
        <v>Poor</v>
      </c>
      <c r="M88" t="str">
        <f t="shared" si="10"/>
        <v>Low Discount</v>
      </c>
      <c r="N88">
        <f t="shared" si="14"/>
        <v>0</v>
      </c>
    </row>
    <row r="89" spans="2:14" x14ac:dyDescent="0.3">
      <c r="B89" t="s">
        <v>167</v>
      </c>
      <c r="C89" t="s">
        <v>251</v>
      </c>
      <c r="D89" t="s">
        <v>252</v>
      </c>
      <c r="E89" s="1">
        <v>0.49</v>
      </c>
      <c r="H89">
        <f t="shared" si="15"/>
        <v>657</v>
      </c>
      <c r="I89">
        <f t="shared" si="16"/>
        <v>1288</v>
      </c>
      <c r="J89">
        <f t="shared" si="11"/>
        <v>631</v>
      </c>
      <c r="K89">
        <f t="shared" si="12"/>
        <v>0</v>
      </c>
      <c r="L89" t="str">
        <f t="shared" si="13"/>
        <v>Poor</v>
      </c>
      <c r="M89" t="str">
        <f t="shared" si="10"/>
        <v>High Discount</v>
      </c>
      <c r="N89">
        <f t="shared" si="14"/>
        <v>0</v>
      </c>
    </row>
    <row r="90" spans="2:14" x14ac:dyDescent="0.3">
      <c r="B90" t="s">
        <v>253</v>
      </c>
      <c r="C90" t="s">
        <v>254</v>
      </c>
      <c r="D90" t="s">
        <v>154</v>
      </c>
      <c r="E90" s="1">
        <v>0.14000000000000001</v>
      </c>
      <c r="H90">
        <f t="shared" si="15"/>
        <v>1468</v>
      </c>
      <c r="I90">
        <f t="shared" si="16"/>
        <v>1699</v>
      </c>
      <c r="J90">
        <f t="shared" si="11"/>
        <v>231</v>
      </c>
      <c r="K90">
        <f t="shared" si="12"/>
        <v>0</v>
      </c>
      <c r="L90" t="str">
        <f t="shared" si="13"/>
        <v>Poor</v>
      </c>
      <c r="M90" t="str">
        <f t="shared" si="10"/>
        <v>Low Discount</v>
      </c>
      <c r="N90">
        <f t="shared" si="14"/>
        <v>0</v>
      </c>
    </row>
    <row r="91" spans="2:14" x14ac:dyDescent="0.3">
      <c r="B91" t="s">
        <v>255</v>
      </c>
      <c r="C91" t="s">
        <v>256</v>
      </c>
      <c r="D91" t="s">
        <v>257</v>
      </c>
      <c r="E91" s="1">
        <v>0.43</v>
      </c>
      <c r="H91">
        <f t="shared" si="15"/>
        <v>630</v>
      </c>
      <c r="I91">
        <f t="shared" si="16"/>
        <v>1100</v>
      </c>
      <c r="J91">
        <f t="shared" si="11"/>
        <v>470</v>
      </c>
      <c r="K91">
        <f t="shared" si="12"/>
        <v>0</v>
      </c>
      <c r="L91" t="str">
        <f t="shared" si="13"/>
        <v>Poor</v>
      </c>
      <c r="M91" t="str">
        <f t="shared" si="10"/>
        <v>Medium Discount</v>
      </c>
      <c r="N91">
        <f t="shared" si="14"/>
        <v>0</v>
      </c>
    </row>
    <row r="92" spans="2:14" x14ac:dyDescent="0.3">
      <c r="B92" t="s">
        <v>258</v>
      </c>
      <c r="C92" t="s">
        <v>259</v>
      </c>
      <c r="D92" t="s">
        <v>260</v>
      </c>
      <c r="E92" s="1">
        <v>0.5</v>
      </c>
      <c r="H92">
        <f t="shared" si="15"/>
        <v>850</v>
      </c>
      <c r="I92">
        <f t="shared" si="16"/>
        <v>1700</v>
      </c>
      <c r="J92">
        <f t="shared" si="11"/>
        <v>850</v>
      </c>
      <c r="K92">
        <f t="shared" si="12"/>
        <v>0</v>
      </c>
      <c r="L92" t="str">
        <f t="shared" si="13"/>
        <v>Poor</v>
      </c>
      <c r="M92" t="str">
        <f t="shared" si="10"/>
        <v>High Discount</v>
      </c>
      <c r="N92">
        <f t="shared" si="14"/>
        <v>0</v>
      </c>
    </row>
    <row r="93" spans="2:14" x14ac:dyDescent="0.3">
      <c r="B93" t="s">
        <v>261</v>
      </c>
      <c r="C93" t="s">
        <v>262</v>
      </c>
      <c r="D93" t="s">
        <v>176</v>
      </c>
      <c r="E93" s="1">
        <v>0.48</v>
      </c>
      <c r="H93">
        <f t="shared" si="15"/>
        <v>1300</v>
      </c>
      <c r="I93">
        <f t="shared" si="16"/>
        <v>2500</v>
      </c>
      <c r="J93">
        <f t="shared" si="11"/>
        <v>1200</v>
      </c>
      <c r="K93">
        <f t="shared" si="12"/>
        <v>0</v>
      </c>
      <c r="L93" t="str">
        <f t="shared" si="13"/>
        <v>Poor</v>
      </c>
      <c r="M93" t="str">
        <f t="shared" si="10"/>
        <v>High Discount</v>
      </c>
      <c r="N93">
        <f t="shared" si="14"/>
        <v>0</v>
      </c>
    </row>
    <row r="94" spans="2:14" x14ac:dyDescent="0.3">
      <c r="B94" t="s">
        <v>263</v>
      </c>
      <c r="C94" t="s">
        <v>264</v>
      </c>
      <c r="D94" t="s">
        <v>265</v>
      </c>
      <c r="E94" s="1">
        <v>0.48</v>
      </c>
      <c r="H94">
        <f t="shared" si="15"/>
        <v>105</v>
      </c>
      <c r="I94">
        <f t="shared" si="16"/>
        <v>200</v>
      </c>
      <c r="J94">
        <f t="shared" si="11"/>
        <v>95</v>
      </c>
      <c r="K94">
        <f t="shared" si="12"/>
        <v>0</v>
      </c>
      <c r="L94" t="str">
        <f t="shared" si="13"/>
        <v>Poor</v>
      </c>
      <c r="M94" t="str">
        <f t="shared" si="10"/>
        <v>High Discount</v>
      </c>
      <c r="N94">
        <f t="shared" si="14"/>
        <v>0</v>
      </c>
    </row>
    <row r="95" spans="2:14" x14ac:dyDescent="0.3">
      <c r="B95" t="s">
        <v>266</v>
      </c>
      <c r="C95" t="s">
        <v>218</v>
      </c>
      <c r="D95" t="s">
        <v>154</v>
      </c>
      <c r="E95" s="1">
        <v>0.47</v>
      </c>
      <c r="H95">
        <f t="shared" si="15"/>
        <v>899</v>
      </c>
      <c r="I95">
        <f t="shared" si="16"/>
        <v>1699</v>
      </c>
      <c r="J95">
        <f t="shared" si="11"/>
        <v>800</v>
      </c>
      <c r="K95">
        <f t="shared" si="12"/>
        <v>0</v>
      </c>
      <c r="L95" t="str">
        <f t="shared" si="13"/>
        <v>Poor</v>
      </c>
      <c r="M95" t="str">
        <f t="shared" si="10"/>
        <v>High Discount</v>
      </c>
      <c r="N95">
        <f t="shared" si="14"/>
        <v>0</v>
      </c>
    </row>
    <row r="96" spans="2:14" x14ac:dyDescent="0.3">
      <c r="B96" t="s">
        <v>267</v>
      </c>
      <c r="C96" t="s">
        <v>144</v>
      </c>
      <c r="D96" t="s">
        <v>268</v>
      </c>
      <c r="E96" s="1">
        <v>0.5</v>
      </c>
      <c r="H96">
        <f t="shared" si="15"/>
        <v>1200</v>
      </c>
      <c r="I96">
        <f t="shared" si="16"/>
        <v>2400</v>
      </c>
      <c r="J96">
        <f t="shared" si="11"/>
        <v>1200</v>
      </c>
      <c r="K96">
        <f t="shared" si="12"/>
        <v>0</v>
      </c>
      <c r="L96" t="str">
        <f t="shared" si="13"/>
        <v>Poor</v>
      </c>
      <c r="M96" t="str">
        <f t="shared" si="10"/>
        <v>High Discount</v>
      </c>
      <c r="N96">
        <f t="shared" si="14"/>
        <v>0</v>
      </c>
    </row>
    <row r="97" spans="2:14" x14ac:dyDescent="0.3">
      <c r="B97" t="s">
        <v>269</v>
      </c>
      <c r="C97" t="s">
        <v>270</v>
      </c>
      <c r="D97" t="s">
        <v>153</v>
      </c>
      <c r="E97" s="1">
        <v>0.08</v>
      </c>
      <c r="H97">
        <f t="shared" si="15"/>
        <v>1526</v>
      </c>
      <c r="I97">
        <f t="shared" si="16"/>
        <v>1660</v>
      </c>
      <c r="J97">
        <f t="shared" si="11"/>
        <v>134</v>
      </c>
      <c r="K97">
        <f t="shared" si="12"/>
        <v>0</v>
      </c>
      <c r="L97" t="str">
        <f t="shared" si="13"/>
        <v>Poor</v>
      </c>
      <c r="M97" t="str">
        <f t="shared" si="10"/>
        <v>Low Discount</v>
      </c>
      <c r="N97">
        <f t="shared" si="14"/>
        <v>0</v>
      </c>
    </row>
    <row r="98" spans="2:14" x14ac:dyDescent="0.3">
      <c r="B98" t="s">
        <v>271</v>
      </c>
      <c r="C98" t="s">
        <v>272</v>
      </c>
      <c r="D98" t="s">
        <v>159</v>
      </c>
      <c r="E98" s="1">
        <v>0.02</v>
      </c>
      <c r="H98">
        <f t="shared" si="15"/>
        <v>1462</v>
      </c>
      <c r="I98">
        <f t="shared" si="16"/>
        <v>1499</v>
      </c>
      <c r="J98">
        <f t="shared" si="11"/>
        <v>37</v>
      </c>
      <c r="K98">
        <f t="shared" si="12"/>
        <v>0</v>
      </c>
      <c r="L98" t="str">
        <f t="shared" si="13"/>
        <v>Poor</v>
      </c>
      <c r="M98" t="str">
        <f t="shared" ref="M98:M113" si="17">IF(E98 &lt; 0.2, "Low Discount",  IF( E98 &lt;=0.44, "Medium Discount", "High Discount"))</f>
        <v>Low Discount</v>
      </c>
      <c r="N98">
        <f t="shared" si="14"/>
        <v>0</v>
      </c>
    </row>
    <row r="99" spans="2:14" x14ac:dyDescent="0.3">
      <c r="B99" t="s">
        <v>273</v>
      </c>
      <c r="C99" t="s">
        <v>274</v>
      </c>
      <c r="D99" t="s">
        <v>275</v>
      </c>
      <c r="E99" s="1">
        <v>0.49</v>
      </c>
      <c r="H99">
        <f t="shared" si="15"/>
        <v>248</v>
      </c>
      <c r="I99">
        <f t="shared" si="16"/>
        <v>486</v>
      </c>
      <c r="J99">
        <f t="shared" si="11"/>
        <v>238</v>
      </c>
      <c r="K99">
        <f t="shared" si="12"/>
        <v>0</v>
      </c>
      <c r="L99" t="str">
        <f t="shared" si="13"/>
        <v>Poor</v>
      </c>
      <c r="M99" t="str">
        <f t="shared" si="17"/>
        <v>High Discount</v>
      </c>
      <c r="N99">
        <f t="shared" si="14"/>
        <v>0</v>
      </c>
    </row>
    <row r="100" spans="2:14" x14ac:dyDescent="0.3">
      <c r="B100" t="s">
        <v>276</v>
      </c>
      <c r="C100" t="s">
        <v>277</v>
      </c>
      <c r="D100" t="s">
        <v>65</v>
      </c>
      <c r="E100" s="1">
        <v>0.04</v>
      </c>
      <c r="H100">
        <f t="shared" si="15"/>
        <v>3546</v>
      </c>
      <c r="I100">
        <f t="shared" si="16"/>
        <v>3699</v>
      </c>
      <c r="J100">
        <f t="shared" si="11"/>
        <v>153</v>
      </c>
      <c r="K100">
        <f t="shared" si="12"/>
        <v>0</v>
      </c>
      <c r="L100" t="str">
        <f t="shared" si="13"/>
        <v>Poor</v>
      </c>
      <c r="M100" t="str">
        <f t="shared" si="17"/>
        <v>Low Discount</v>
      </c>
      <c r="N100">
        <f t="shared" si="14"/>
        <v>0</v>
      </c>
    </row>
    <row r="101" spans="2:14" x14ac:dyDescent="0.3">
      <c r="B101" t="s">
        <v>278</v>
      </c>
      <c r="C101" t="s">
        <v>279</v>
      </c>
      <c r="D101" t="s">
        <v>280</v>
      </c>
      <c r="E101" s="1">
        <v>0.49</v>
      </c>
      <c r="H101">
        <f t="shared" si="15"/>
        <v>525</v>
      </c>
      <c r="I101">
        <f t="shared" si="16"/>
        <v>1029</v>
      </c>
      <c r="J101">
        <f t="shared" si="11"/>
        <v>504</v>
      </c>
      <c r="K101">
        <f t="shared" si="12"/>
        <v>0</v>
      </c>
      <c r="L101" t="str">
        <f t="shared" si="13"/>
        <v>Poor</v>
      </c>
      <c r="M101" t="str">
        <f t="shared" si="17"/>
        <v>High Discount</v>
      </c>
      <c r="N101">
        <f t="shared" si="14"/>
        <v>0</v>
      </c>
    </row>
    <row r="102" spans="2:14" x14ac:dyDescent="0.3">
      <c r="B102" t="s">
        <v>281</v>
      </c>
      <c r="C102" t="s">
        <v>282</v>
      </c>
      <c r="D102" t="s">
        <v>283</v>
      </c>
      <c r="E102" s="1">
        <v>0.42</v>
      </c>
      <c r="H102">
        <f t="shared" si="15"/>
        <v>1080</v>
      </c>
      <c r="I102">
        <f t="shared" si="16"/>
        <v>1874</v>
      </c>
      <c r="J102">
        <f t="shared" si="11"/>
        <v>794</v>
      </c>
      <c r="K102">
        <f t="shared" si="12"/>
        <v>0</v>
      </c>
      <c r="L102" t="str">
        <f t="shared" si="13"/>
        <v>Poor</v>
      </c>
      <c r="M102" t="str">
        <f t="shared" si="17"/>
        <v>Medium Discount</v>
      </c>
      <c r="N102">
        <f t="shared" si="14"/>
        <v>0</v>
      </c>
    </row>
    <row r="103" spans="2:14" x14ac:dyDescent="0.3">
      <c r="B103" t="s">
        <v>320</v>
      </c>
      <c r="C103" t="s">
        <v>284</v>
      </c>
      <c r="D103" t="s">
        <v>285</v>
      </c>
      <c r="E103" s="1">
        <v>0.21</v>
      </c>
      <c r="F103" t="s">
        <v>57</v>
      </c>
      <c r="G103">
        <v>-1</v>
      </c>
      <c r="H103">
        <f t="shared" si="15"/>
        <v>3640</v>
      </c>
      <c r="I103">
        <f t="shared" si="16"/>
        <v>4588</v>
      </c>
      <c r="J103">
        <f t="shared" si="11"/>
        <v>948</v>
      </c>
      <c r="K103">
        <f t="shared" si="12"/>
        <v>5</v>
      </c>
      <c r="L103" t="str">
        <f t="shared" si="13"/>
        <v>Excellent</v>
      </c>
      <c r="M103" t="str">
        <f t="shared" si="17"/>
        <v>Medium Discount</v>
      </c>
      <c r="N103">
        <f t="shared" si="14"/>
        <v>1</v>
      </c>
    </row>
    <row r="104" spans="2:14" x14ac:dyDescent="0.3">
      <c r="B104" t="s">
        <v>321</v>
      </c>
      <c r="C104" t="s">
        <v>286</v>
      </c>
      <c r="D104" t="s">
        <v>287</v>
      </c>
      <c r="E104" s="1">
        <v>0.41</v>
      </c>
      <c r="H104">
        <f t="shared" si="15"/>
        <v>1420</v>
      </c>
      <c r="I104">
        <f t="shared" si="16"/>
        <v>2420</v>
      </c>
      <c r="J104">
        <f t="shared" si="11"/>
        <v>1000</v>
      </c>
      <c r="K104">
        <f t="shared" si="12"/>
        <v>0</v>
      </c>
      <c r="L104" t="str">
        <f t="shared" si="13"/>
        <v>Poor</v>
      </c>
      <c r="M104" t="str">
        <f t="shared" si="17"/>
        <v>Medium Discount</v>
      </c>
      <c r="N104">
        <f t="shared" si="14"/>
        <v>0</v>
      </c>
    </row>
    <row r="105" spans="2:14" x14ac:dyDescent="0.3">
      <c r="B105" t="s">
        <v>288</v>
      </c>
      <c r="C105" t="s">
        <v>289</v>
      </c>
      <c r="D105" t="s">
        <v>290</v>
      </c>
      <c r="E105" s="1">
        <v>0.01</v>
      </c>
      <c r="H105">
        <f t="shared" ref="H105:H113" si="18">VALUE(SUBSTITUTE(SUBSTITUTE(C105, "KSh ", ""), ",", ""))</f>
        <v>1875</v>
      </c>
      <c r="I105">
        <f t="shared" ref="I105:I113" si="19">VALUE(SUBSTITUTE(SUBSTITUTE(D105,"KSh ",""),",",""))</f>
        <v>1899</v>
      </c>
      <c r="J105">
        <f t="shared" si="11"/>
        <v>24</v>
      </c>
      <c r="K105">
        <f t="shared" si="12"/>
        <v>0</v>
      </c>
      <c r="L105" t="str">
        <f t="shared" si="13"/>
        <v>Poor</v>
      </c>
      <c r="M105" t="str">
        <f t="shared" si="17"/>
        <v>Low Discount</v>
      </c>
      <c r="N105">
        <f t="shared" si="14"/>
        <v>0</v>
      </c>
    </row>
    <row r="106" spans="2:14" x14ac:dyDescent="0.3">
      <c r="B106" t="s">
        <v>291</v>
      </c>
      <c r="C106" t="s">
        <v>292</v>
      </c>
      <c r="D106" t="s">
        <v>293</v>
      </c>
      <c r="E106" s="1">
        <v>0.24</v>
      </c>
      <c r="H106">
        <f t="shared" si="18"/>
        <v>198</v>
      </c>
      <c r="I106">
        <f t="shared" si="19"/>
        <v>260</v>
      </c>
      <c r="J106">
        <f t="shared" si="11"/>
        <v>62</v>
      </c>
      <c r="K106">
        <f t="shared" si="12"/>
        <v>0</v>
      </c>
      <c r="L106" t="str">
        <f t="shared" si="13"/>
        <v>Poor</v>
      </c>
      <c r="M106" t="str">
        <f t="shared" si="17"/>
        <v>Medium Discount</v>
      </c>
      <c r="N106">
        <f t="shared" si="14"/>
        <v>0</v>
      </c>
    </row>
    <row r="107" spans="2:14" x14ac:dyDescent="0.3">
      <c r="B107" t="s">
        <v>294</v>
      </c>
      <c r="C107" t="s">
        <v>295</v>
      </c>
      <c r="D107" t="s">
        <v>296</v>
      </c>
      <c r="E107" s="1">
        <v>0.34</v>
      </c>
      <c r="H107">
        <f t="shared" si="18"/>
        <v>1150</v>
      </c>
      <c r="I107">
        <f t="shared" si="19"/>
        <v>1737</v>
      </c>
      <c r="J107">
        <f t="shared" si="11"/>
        <v>587</v>
      </c>
      <c r="K107">
        <f t="shared" si="12"/>
        <v>0</v>
      </c>
      <c r="L107" t="str">
        <f t="shared" si="13"/>
        <v>Poor</v>
      </c>
      <c r="M107" t="str">
        <f t="shared" si="17"/>
        <v>Medium Discount</v>
      </c>
      <c r="N107">
        <f t="shared" si="14"/>
        <v>0</v>
      </c>
    </row>
    <row r="108" spans="2:14" x14ac:dyDescent="0.3">
      <c r="B108" t="s">
        <v>297</v>
      </c>
      <c r="C108" t="s">
        <v>138</v>
      </c>
      <c r="D108" t="s">
        <v>298</v>
      </c>
      <c r="E108" s="1">
        <v>0.34</v>
      </c>
      <c r="H108">
        <f t="shared" si="18"/>
        <v>1190</v>
      </c>
      <c r="I108">
        <f t="shared" si="19"/>
        <v>1810</v>
      </c>
      <c r="J108">
        <f t="shared" si="11"/>
        <v>620</v>
      </c>
      <c r="K108">
        <f t="shared" si="12"/>
        <v>0</v>
      </c>
      <c r="L108" t="str">
        <f t="shared" si="13"/>
        <v>Poor</v>
      </c>
      <c r="M108" t="str">
        <f t="shared" si="17"/>
        <v>Medium Discount</v>
      </c>
      <c r="N108">
        <f t="shared" si="14"/>
        <v>0</v>
      </c>
    </row>
    <row r="109" spans="2:14" x14ac:dyDescent="0.3">
      <c r="B109" t="s">
        <v>299</v>
      </c>
      <c r="C109" t="s">
        <v>300</v>
      </c>
      <c r="D109" t="s">
        <v>154</v>
      </c>
      <c r="E109" s="1">
        <v>0.02</v>
      </c>
      <c r="H109">
        <f t="shared" si="18"/>
        <v>1658</v>
      </c>
      <c r="I109">
        <f t="shared" si="19"/>
        <v>1699</v>
      </c>
      <c r="J109">
        <f t="shared" si="11"/>
        <v>41</v>
      </c>
      <c r="K109">
        <f t="shared" si="12"/>
        <v>0</v>
      </c>
      <c r="L109" t="str">
        <f t="shared" si="13"/>
        <v>Poor</v>
      </c>
      <c r="M109" t="str">
        <f t="shared" si="17"/>
        <v>Low Discount</v>
      </c>
      <c r="N109">
        <f t="shared" si="14"/>
        <v>0</v>
      </c>
    </row>
    <row r="110" spans="2:14" x14ac:dyDescent="0.3">
      <c r="B110" t="s">
        <v>301</v>
      </c>
      <c r="C110" t="s">
        <v>302</v>
      </c>
      <c r="D110" t="s">
        <v>229</v>
      </c>
      <c r="E110" s="1">
        <v>0.02</v>
      </c>
      <c r="H110">
        <f t="shared" si="18"/>
        <v>1768</v>
      </c>
      <c r="I110">
        <f t="shared" si="19"/>
        <v>1799</v>
      </c>
      <c r="J110">
        <f t="shared" si="11"/>
        <v>31</v>
      </c>
      <c r="K110">
        <f t="shared" si="12"/>
        <v>0</v>
      </c>
      <c r="L110" t="str">
        <f t="shared" si="13"/>
        <v>Poor</v>
      </c>
      <c r="M110" t="str">
        <f t="shared" si="17"/>
        <v>Low Discount</v>
      </c>
      <c r="N110">
        <f t="shared" si="14"/>
        <v>0</v>
      </c>
    </row>
    <row r="111" spans="2:14" x14ac:dyDescent="0.3">
      <c r="B111" t="s">
        <v>303</v>
      </c>
      <c r="C111" t="s">
        <v>147</v>
      </c>
      <c r="D111" t="s">
        <v>304</v>
      </c>
      <c r="E111" s="1">
        <v>0.64</v>
      </c>
      <c r="H111">
        <f t="shared" si="18"/>
        <v>199</v>
      </c>
      <c r="I111">
        <f t="shared" si="19"/>
        <v>553</v>
      </c>
      <c r="J111">
        <f t="shared" si="11"/>
        <v>354</v>
      </c>
      <c r="K111">
        <f t="shared" si="12"/>
        <v>0</v>
      </c>
      <c r="L111" t="str">
        <f t="shared" si="13"/>
        <v>Poor</v>
      </c>
      <c r="M111" t="str">
        <f t="shared" si="17"/>
        <v>High Discount</v>
      </c>
      <c r="N111">
        <f t="shared" si="14"/>
        <v>0</v>
      </c>
    </row>
    <row r="112" spans="2:14" x14ac:dyDescent="0.3">
      <c r="B112" t="s">
        <v>305</v>
      </c>
      <c r="C112" t="s">
        <v>232</v>
      </c>
      <c r="D112" t="s">
        <v>164</v>
      </c>
      <c r="E112" s="1">
        <v>0.5</v>
      </c>
      <c r="F112" t="s">
        <v>306</v>
      </c>
      <c r="G112">
        <v>-1</v>
      </c>
      <c r="H112">
        <f t="shared" si="18"/>
        <v>450</v>
      </c>
      <c r="I112">
        <f t="shared" si="19"/>
        <v>900</v>
      </c>
      <c r="J112">
        <f t="shared" si="11"/>
        <v>450</v>
      </c>
      <c r="K112">
        <f t="shared" si="12"/>
        <v>2</v>
      </c>
      <c r="L112" t="str">
        <f t="shared" si="13"/>
        <v>Poor</v>
      </c>
      <c r="M112" t="str">
        <f t="shared" si="17"/>
        <v>High Discount</v>
      </c>
      <c r="N112">
        <f t="shared" si="14"/>
        <v>1</v>
      </c>
    </row>
    <row r="113" spans="1:14" x14ac:dyDescent="0.3">
      <c r="B113" t="s">
        <v>307</v>
      </c>
      <c r="C113" t="s">
        <v>308</v>
      </c>
      <c r="D113" t="s">
        <v>309</v>
      </c>
      <c r="E113" s="1">
        <v>0.47</v>
      </c>
      <c r="H113">
        <f t="shared" si="18"/>
        <v>169</v>
      </c>
      <c r="I113">
        <f t="shared" si="19"/>
        <v>320</v>
      </c>
      <c r="J113">
        <f t="shared" si="11"/>
        <v>151</v>
      </c>
      <c r="K113">
        <f t="shared" si="12"/>
        <v>0</v>
      </c>
      <c r="L113" t="str">
        <f t="shared" si="13"/>
        <v>Poor</v>
      </c>
      <c r="M113" t="str">
        <f t="shared" si="17"/>
        <v>High Discount</v>
      </c>
      <c r="N113">
        <f t="shared" si="14"/>
        <v>0</v>
      </c>
    </row>
    <row r="115" spans="1:14" x14ac:dyDescent="0.3">
      <c r="A115" t="s">
        <v>331</v>
      </c>
      <c r="H115">
        <f t="shared" ref="H115:K115" si="20">AVERAGE(H2:H113)</f>
        <v>1185.2857142857142</v>
      </c>
      <c r="I115">
        <f t="shared" si="20"/>
        <v>1806.6428571428571</v>
      </c>
      <c r="J115">
        <f t="shared" si="20"/>
        <v>621.35714285714289</v>
      </c>
      <c r="K115">
        <f t="shared" si="20"/>
        <v>1.9794642857142855</v>
      </c>
    </row>
    <row r="116" spans="1:14" x14ac:dyDescent="0.3">
      <c r="A116" t="s">
        <v>329</v>
      </c>
      <c r="B116" t="str">
        <f>INDEX(B2:B113, MATCH(MAX(H2:H113), H2:H113, 0))</f>
        <v>32PCS Portable Cordless Drill Set With Cyclic Battery Drive -26 Variable Speed</v>
      </c>
      <c r="H116">
        <f>MAX(H2:H113)</f>
        <v>3750</v>
      </c>
    </row>
    <row r="117" spans="1:14" x14ac:dyDescent="0.3">
      <c r="A117" t="s">
        <v>330</v>
      </c>
      <c r="B117" t="str">
        <f>INDEX(B2:B113, MATCH(MIN(H2:H113), H2:H113, 0))</f>
        <v>3PCS Single Head Knitting Crochet Sweater Needle Set</v>
      </c>
      <c r="H117">
        <f>MIN(H2:H113)</f>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Review counts</vt:lpstr>
      <vt:lpstr>AVG Ratings</vt:lpstr>
      <vt:lpstr>Relationship</vt:lpstr>
      <vt:lpstr>Reviews</vt:lpstr>
      <vt:lpstr>Discounts</vt:lpstr>
      <vt:lpstr>Low rating</vt:lpstr>
      <vt:lpstr>High rating</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jayden</dc:creator>
  <cp:lastModifiedBy>simon jayden</cp:lastModifiedBy>
  <dcterms:created xsi:type="dcterms:W3CDTF">2026-06-13T07:21:55Z</dcterms:created>
  <dcterms:modified xsi:type="dcterms:W3CDTF">2026-06-13T18:27:47Z</dcterms:modified>
</cp:coreProperties>
</file>